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24226"/>
  <mc:AlternateContent xmlns:mc="http://schemas.openxmlformats.org/markup-compatibility/2006">
    <mc:Choice Requires="x15">
      <x15ac:absPath xmlns:x15ac="http://schemas.microsoft.com/office/spreadsheetml/2010/11/ac" url="D:\DTES\final\publication\list of documents\"/>
    </mc:Choice>
  </mc:AlternateContent>
  <xr:revisionPtr revIDLastSave="0" documentId="13_ncr:1_{D3CACE60-0D40-4D61-9BB0-B0DF7201A047}" xr6:coauthVersionLast="47" xr6:coauthVersionMax="47" xr10:uidLastSave="{00000000-0000-0000-0000-000000000000}"/>
  <bookViews>
    <workbookView xWindow="-120" yWindow="-120" windowWidth="29040" windowHeight="15720" xr2:uid="{BC11C8F4-0E43-4BA0-8856-245DBB2C70DF}"/>
  </bookViews>
  <sheets>
    <sheet name="layout80_tourism" sheetId="1" r:id="rId1"/>
  </sheets>
  <definedNames>
    <definedName name="_xlnm.Print_Area" localSheetId="0">layout80_tourism!#REF!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342" i="1" l="1"/>
  <c r="I343" i="1" s="1"/>
  <c r="I260" i="1"/>
  <c r="I261" i="1" s="1"/>
  <c r="I178" i="1"/>
  <c r="I179" i="1" s="1"/>
  <c r="I140" i="1"/>
  <c r="I141" i="1" s="1"/>
  <c r="I102" i="1"/>
  <c r="I103" i="1" s="1"/>
  <c r="I73" i="1"/>
  <c r="I74" i="1" s="1"/>
  <c r="I38" i="1"/>
  <c r="I39" i="1" s="1"/>
  <c r="I9" i="1"/>
  <c r="I344" i="1" l="1"/>
  <c r="G344" i="1"/>
  <c r="G343" i="1"/>
  <c r="I262" i="1"/>
  <c r="G262" i="1"/>
  <c r="G261" i="1"/>
  <c r="I180" i="1"/>
  <c r="G180" i="1"/>
  <c r="G179" i="1"/>
  <c r="G141" i="1"/>
  <c r="I142" i="1"/>
  <c r="G142" i="1"/>
  <c r="I104" i="1"/>
  <c r="G104" i="1"/>
  <c r="G103" i="1"/>
  <c r="I75" i="1"/>
  <c r="G75" i="1"/>
  <c r="G74" i="1"/>
  <c r="I40" i="1"/>
  <c r="G40" i="1"/>
  <c r="G39" i="1"/>
  <c r="G10" i="1"/>
  <c r="I10" i="1"/>
  <c r="I345" i="1" l="1"/>
  <c r="G345" i="1"/>
  <c r="I263" i="1"/>
  <c r="G263" i="1"/>
  <c r="I181" i="1"/>
  <c r="G181" i="1"/>
  <c r="I143" i="1"/>
  <c r="G143" i="1"/>
  <c r="I105" i="1"/>
  <c r="G105" i="1"/>
  <c r="I76" i="1"/>
  <c r="G76" i="1"/>
  <c r="I41" i="1"/>
  <c r="G41" i="1"/>
  <c r="I11" i="1"/>
  <c r="G11" i="1"/>
  <c r="G12" i="1" l="1"/>
  <c r="I12" i="1"/>
  <c r="G346" i="1"/>
  <c r="I346" i="1"/>
  <c r="I264" i="1"/>
  <c r="G264" i="1"/>
  <c r="I182" i="1"/>
  <c r="G182" i="1"/>
  <c r="I144" i="1"/>
  <c r="G144" i="1"/>
  <c r="G106" i="1"/>
  <c r="I106" i="1"/>
  <c r="G77" i="1"/>
  <c r="I77" i="1"/>
  <c r="G42" i="1"/>
  <c r="I42" i="1"/>
  <c r="G13" i="1" l="1"/>
  <c r="I13" i="1"/>
  <c r="I347" i="1"/>
  <c r="G347" i="1"/>
  <c r="I265" i="1"/>
  <c r="G265" i="1"/>
  <c r="I183" i="1"/>
  <c r="G183" i="1"/>
  <c r="G145" i="1"/>
  <c r="I145" i="1"/>
  <c r="I107" i="1"/>
  <c r="G107" i="1"/>
  <c r="I78" i="1"/>
  <c r="G78" i="1"/>
  <c r="G43" i="1"/>
  <c r="I43" i="1"/>
  <c r="I14" i="1" l="1"/>
  <c r="G14" i="1"/>
  <c r="I348" i="1"/>
  <c r="G348" i="1"/>
  <c r="I266" i="1"/>
  <c r="G266" i="1"/>
  <c r="I184" i="1"/>
  <c r="G184" i="1"/>
  <c r="I146" i="1"/>
  <c r="G146" i="1"/>
  <c r="I108" i="1"/>
  <c r="G108" i="1"/>
  <c r="I79" i="1"/>
  <c r="G79" i="1"/>
  <c r="I44" i="1"/>
  <c r="G44" i="1"/>
  <c r="G45" i="1" l="1"/>
  <c r="I45" i="1"/>
  <c r="I15" i="1"/>
  <c r="G15" i="1"/>
  <c r="I349" i="1"/>
  <c r="G349" i="1"/>
  <c r="I267" i="1"/>
  <c r="G267" i="1"/>
  <c r="I185" i="1"/>
  <c r="G185" i="1"/>
  <c r="I147" i="1"/>
  <c r="G147" i="1"/>
  <c r="I109" i="1"/>
  <c r="G109" i="1"/>
  <c r="I80" i="1"/>
  <c r="G80" i="1"/>
  <c r="G46" i="1" l="1"/>
  <c r="I46" i="1"/>
  <c r="I16" i="1"/>
  <c r="G16" i="1"/>
  <c r="G350" i="1"/>
  <c r="I350" i="1"/>
  <c r="I268" i="1"/>
  <c r="G268" i="1"/>
  <c r="G186" i="1"/>
  <c r="I186" i="1"/>
  <c r="I148" i="1"/>
  <c r="G148" i="1"/>
  <c r="I110" i="1"/>
  <c r="G110" i="1"/>
  <c r="I81" i="1"/>
  <c r="G81" i="1"/>
  <c r="G47" i="1" l="1"/>
  <c r="I47" i="1"/>
  <c r="G17" i="1"/>
  <c r="I17" i="1"/>
  <c r="I351" i="1"/>
  <c r="G351" i="1"/>
  <c r="I269" i="1"/>
  <c r="G269" i="1"/>
  <c r="I187" i="1"/>
  <c r="G187" i="1"/>
  <c r="G149" i="1"/>
  <c r="I149" i="1"/>
  <c r="G111" i="1"/>
  <c r="I111" i="1"/>
  <c r="G82" i="1"/>
  <c r="I82" i="1"/>
  <c r="G48" i="1" l="1"/>
  <c r="I48" i="1"/>
  <c r="G18" i="1"/>
  <c r="I18" i="1"/>
  <c r="G352" i="1"/>
  <c r="I352" i="1"/>
  <c r="I270" i="1"/>
  <c r="G270" i="1"/>
  <c r="I188" i="1"/>
  <c r="G188" i="1"/>
  <c r="I150" i="1"/>
  <c r="G150" i="1"/>
  <c r="I112" i="1"/>
  <c r="G112" i="1"/>
  <c r="I83" i="1"/>
  <c r="G83" i="1"/>
  <c r="I49" i="1" l="1"/>
  <c r="G49" i="1"/>
  <c r="G19" i="1"/>
  <c r="I19" i="1"/>
  <c r="I353" i="1"/>
  <c r="G353" i="1"/>
  <c r="I271" i="1"/>
  <c r="G271" i="1"/>
  <c r="I189" i="1"/>
  <c r="G189" i="1"/>
  <c r="I151" i="1"/>
  <c r="G151" i="1"/>
  <c r="I113" i="1"/>
  <c r="G113" i="1"/>
  <c r="I84" i="1"/>
  <c r="G84" i="1"/>
  <c r="G152" i="1" l="1"/>
  <c r="I152" i="1"/>
  <c r="G50" i="1"/>
  <c r="I50" i="1"/>
  <c r="G20" i="1"/>
  <c r="I20" i="1"/>
  <c r="G354" i="1"/>
  <c r="I354" i="1"/>
  <c r="G272" i="1"/>
  <c r="I272" i="1"/>
  <c r="I190" i="1"/>
  <c r="G190" i="1"/>
  <c r="I114" i="1"/>
  <c r="G114" i="1"/>
  <c r="G85" i="1"/>
  <c r="I85" i="1"/>
  <c r="I191" i="1" l="1"/>
  <c r="G191" i="1"/>
  <c r="G153" i="1"/>
  <c r="I153" i="1"/>
  <c r="G115" i="1"/>
  <c r="I115" i="1"/>
  <c r="G51" i="1"/>
  <c r="I51" i="1"/>
  <c r="I21" i="1"/>
  <c r="G21" i="1"/>
  <c r="I355" i="1"/>
  <c r="G355" i="1"/>
  <c r="I273" i="1"/>
  <c r="G273" i="1"/>
  <c r="I86" i="1"/>
  <c r="G86" i="1"/>
  <c r="G356" i="1" l="1"/>
  <c r="I356" i="1"/>
  <c r="G274" i="1"/>
  <c r="I274" i="1"/>
  <c r="G192" i="1"/>
  <c r="I192" i="1"/>
  <c r="I154" i="1"/>
  <c r="G154" i="1"/>
  <c r="I116" i="1"/>
  <c r="G116" i="1"/>
  <c r="G87" i="1"/>
  <c r="I87" i="1"/>
  <c r="G52" i="1"/>
  <c r="I52" i="1"/>
  <c r="G22" i="1"/>
  <c r="I22" i="1"/>
  <c r="G357" i="1" l="1"/>
  <c r="I357" i="1"/>
  <c r="G275" i="1"/>
  <c r="I275" i="1"/>
  <c r="G193" i="1"/>
  <c r="I193" i="1"/>
  <c r="G155" i="1"/>
  <c r="I155" i="1"/>
  <c r="G117" i="1"/>
  <c r="I117" i="1"/>
  <c r="G88" i="1"/>
  <c r="I88" i="1"/>
  <c r="G53" i="1"/>
  <c r="I53" i="1"/>
  <c r="G23" i="1"/>
  <c r="I23" i="1"/>
  <c r="G358" i="1" l="1"/>
  <c r="I358" i="1"/>
  <c r="G276" i="1"/>
  <c r="I276" i="1"/>
  <c r="G194" i="1"/>
  <c r="I194" i="1"/>
  <c r="G156" i="1"/>
  <c r="I156" i="1"/>
  <c r="G118" i="1"/>
  <c r="I118" i="1"/>
  <c r="G89" i="1"/>
  <c r="I89" i="1"/>
  <c r="I54" i="1"/>
  <c r="G54" i="1"/>
  <c r="G24" i="1"/>
  <c r="I24" i="1"/>
  <c r="G359" i="1" l="1"/>
  <c r="I359" i="1"/>
  <c r="I277" i="1"/>
  <c r="G277" i="1"/>
  <c r="I195" i="1"/>
  <c r="G195" i="1"/>
  <c r="I157" i="1"/>
  <c r="G157" i="1"/>
  <c r="I119" i="1"/>
  <c r="G119" i="1"/>
  <c r="I90" i="1"/>
  <c r="G90" i="1"/>
  <c r="G55" i="1"/>
  <c r="I55" i="1"/>
  <c r="G25" i="1"/>
  <c r="I25" i="1"/>
  <c r="I360" i="1" l="1"/>
  <c r="G360" i="1"/>
  <c r="I278" i="1"/>
  <c r="G278" i="1"/>
  <c r="I196" i="1"/>
  <c r="G196" i="1"/>
  <c r="I158" i="1"/>
  <c r="G158" i="1"/>
  <c r="I120" i="1"/>
  <c r="G120" i="1"/>
  <c r="G91" i="1"/>
  <c r="I91" i="1"/>
  <c r="I56" i="1"/>
  <c r="G56" i="1"/>
  <c r="I26" i="1"/>
  <c r="G26" i="1"/>
  <c r="I361" i="1" l="1"/>
  <c r="G361" i="1"/>
  <c r="I279" i="1"/>
  <c r="G279" i="1"/>
  <c r="I197" i="1"/>
  <c r="G197" i="1"/>
  <c r="G159" i="1"/>
  <c r="I159" i="1"/>
  <c r="I121" i="1"/>
  <c r="G121" i="1"/>
  <c r="G92" i="1"/>
  <c r="I92" i="1"/>
  <c r="G57" i="1"/>
  <c r="I57" i="1"/>
  <c r="G27" i="1"/>
  <c r="I27" i="1"/>
  <c r="I362" i="1" l="1"/>
  <c r="G362" i="1"/>
  <c r="I280" i="1"/>
  <c r="G280" i="1"/>
  <c r="I198" i="1"/>
  <c r="G198" i="1"/>
  <c r="G160" i="1"/>
  <c r="I160" i="1"/>
  <c r="I122" i="1"/>
  <c r="G122" i="1"/>
  <c r="G93" i="1"/>
  <c r="I93" i="1"/>
  <c r="G58" i="1"/>
  <c r="I58" i="1"/>
  <c r="G28" i="1"/>
  <c r="I28" i="1"/>
  <c r="G363" i="1" l="1"/>
  <c r="I363" i="1"/>
  <c r="I281" i="1"/>
  <c r="G281" i="1"/>
  <c r="I199" i="1"/>
  <c r="G199" i="1"/>
  <c r="I161" i="1"/>
  <c r="G161" i="1"/>
  <c r="G123" i="1"/>
  <c r="I123" i="1"/>
  <c r="I94" i="1"/>
  <c r="G94" i="1"/>
  <c r="G59" i="1"/>
  <c r="I59" i="1"/>
  <c r="I29" i="1"/>
  <c r="G29" i="1"/>
  <c r="G364" i="1" l="1"/>
  <c r="I364" i="1"/>
  <c r="G282" i="1"/>
  <c r="I282" i="1"/>
  <c r="G200" i="1"/>
  <c r="I200" i="1"/>
  <c r="I162" i="1"/>
  <c r="G162" i="1"/>
  <c r="G124" i="1"/>
  <c r="I124" i="1"/>
  <c r="G95" i="1"/>
  <c r="I95" i="1"/>
  <c r="G60" i="1"/>
  <c r="I60" i="1"/>
  <c r="G30" i="1"/>
  <c r="I30" i="1"/>
  <c r="I365" i="1" l="1"/>
  <c r="G365" i="1"/>
  <c r="G283" i="1"/>
  <c r="I283" i="1"/>
  <c r="G201" i="1"/>
  <c r="I201" i="1"/>
  <c r="G163" i="1"/>
  <c r="I163" i="1"/>
  <c r="G125" i="1"/>
  <c r="I125" i="1"/>
  <c r="G61" i="1"/>
  <c r="I61" i="1"/>
  <c r="G31" i="1"/>
  <c r="I31" i="1"/>
  <c r="G366" i="1" l="1"/>
  <c r="I366" i="1"/>
  <c r="G284" i="1"/>
  <c r="I284" i="1"/>
  <c r="G202" i="1"/>
  <c r="I202" i="1"/>
  <c r="I164" i="1"/>
  <c r="G164" i="1"/>
  <c r="I126" i="1"/>
  <c r="G126" i="1"/>
  <c r="G62" i="1"/>
  <c r="I62" i="1"/>
  <c r="I367" i="1" l="1"/>
  <c r="G367" i="1"/>
  <c r="G285" i="1"/>
  <c r="I285" i="1"/>
  <c r="G203" i="1"/>
  <c r="I203" i="1"/>
  <c r="G165" i="1"/>
  <c r="I165" i="1"/>
  <c r="G127" i="1"/>
  <c r="I127" i="1"/>
  <c r="G63" i="1"/>
  <c r="I63" i="1"/>
  <c r="G368" i="1" l="1"/>
  <c r="I368" i="1"/>
  <c r="G286" i="1"/>
  <c r="I286" i="1"/>
  <c r="I204" i="1"/>
  <c r="G204" i="1"/>
  <c r="G166" i="1"/>
  <c r="I166" i="1"/>
  <c r="G128" i="1"/>
  <c r="I128" i="1"/>
  <c r="G64" i="1"/>
  <c r="I64" i="1"/>
  <c r="G369" i="1" l="1"/>
  <c r="I369" i="1"/>
  <c r="I287" i="1"/>
  <c r="G287" i="1"/>
  <c r="I205" i="1"/>
  <c r="G205" i="1"/>
  <c r="I167" i="1"/>
  <c r="G167" i="1"/>
  <c r="G129" i="1"/>
  <c r="I129" i="1"/>
  <c r="G65" i="1"/>
  <c r="I65" i="1"/>
  <c r="G370" i="1" l="1"/>
  <c r="I370" i="1"/>
  <c r="G288" i="1"/>
  <c r="I288" i="1"/>
  <c r="G206" i="1"/>
  <c r="I206" i="1"/>
  <c r="G168" i="1"/>
  <c r="I168" i="1"/>
  <c r="G130" i="1"/>
  <c r="I130" i="1"/>
  <c r="G66" i="1"/>
  <c r="I66" i="1"/>
  <c r="I371" i="1" l="1"/>
  <c r="G371" i="1"/>
  <c r="I289" i="1"/>
  <c r="G289" i="1"/>
  <c r="I207" i="1"/>
  <c r="G207" i="1"/>
  <c r="G169" i="1"/>
  <c r="I169" i="1"/>
  <c r="G131" i="1"/>
  <c r="I131" i="1"/>
  <c r="I67" i="1"/>
  <c r="G67" i="1"/>
  <c r="G372" i="1" l="1"/>
  <c r="I372" i="1"/>
  <c r="G290" i="1"/>
  <c r="I290" i="1"/>
  <c r="I208" i="1"/>
  <c r="G208" i="1"/>
  <c r="G170" i="1"/>
  <c r="I170" i="1"/>
  <c r="G132" i="1"/>
  <c r="I132" i="1"/>
  <c r="I373" i="1" l="1"/>
  <c r="G373" i="1"/>
  <c r="G291" i="1"/>
  <c r="I291" i="1"/>
  <c r="G209" i="1"/>
  <c r="I209" i="1"/>
  <c r="I171" i="1"/>
  <c r="G171" i="1"/>
  <c r="G133" i="1"/>
  <c r="I133" i="1"/>
  <c r="G374" i="1" l="1"/>
  <c r="I374" i="1"/>
  <c r="G292" i="1"/>
  <c r="I292" i="1"/>
  <c r="G210" i="1"/>
  <c r="I210" i="1"/>
  <c r="G172" i="1"/>
  <c r="I172" i="1"/>
  <c r="G134" i="1"/>
  <c r="I134" i="1"/>
  <c r="G375" i="1" l="1"/>
  <c r="I375" i="1"/>
  <c r="G293" i="1"/>
  <c r="I293" i="1"/>
  <c r="G211" i="1"/>
  <c r="I211" i="1"/>
  <c r="G376" i="1" l="1"/>
  <c r="I376" i="1"/>
  <c r="I294" i="1"/>
  <c r="G294" i="1"/>
  <c r="I212" i="1"/>
  <c r="G212" i="1"/>
  <c r="I377" i="1" l="1"/>
  <c r="G377" i="1"/>
  <c r="I295" i="1"/>
  <c r="G295" i="1"/>
  <c r="G213" i="1"/>
  <c r="I213" i="1"/>
  <c r="I296" i="1" l="1"/>
  <c r="G296" i="1"/>
  <c r="G214" i="1"/>
  <c r="I214" i="1"/>
  <c r="G297" i="1" l="1"/>
  <c r="I297" i="1"/>
  <c r="G215" i="1"/>
  <c r="I215" i="1"/>
  <c r="G298" i="1" l="1"/>
  <c r="I298" i="1"/>
  <c r="G216" i="1"/>
  <c r="I216" i="1"/>
  <c r="G299" i="1" l="1"/>
  <c r="I299" i="1"/>
  <c r="G217" i="1"/>
  <c r="I217" i="1"/>
  <c r="G300" i="1" l="1"/>
  <c r="I300" i="1"/>
  <c r="I218" i="1"/>
  <c r="G218" i="1"/>
  <c r="I301" i="1" l="1"/>
  <c r="G301" i="1"/>
  <c r="G219" i="1"/>
  <c r="I219" i="1"/>
  <c r="I302" i="1" l="1"/>
  <c r="G302" i="1"/>
  <c r="G220" i="1"/>
  <c r="I220" i="1"/>
  <c r="G303" i="1" l="1"/>
  <c r="I303" i="1"/>
  <c r="I221" i="1"/>
  <c r="G221" i="1"/>
  <c r="G304" i="1" l="1"/>
  <c r="I304" i="1"/>
  <c r="I222" i="1"/>
  <c r="G222" i="1"/>
  <c r="G305" i="1" l="1"/>
  <c r="I305" i="1"/>
  <c r="I223" i="1"/>
  <c r="G223" i="1"/>
  <c r="G306" i="1" l="1"/>
  <c r="I306" i="1"/>
  <c r="G224" i="1"/>
  <c r="I224" i="1"/>
  <c r="G307" i="1" l="1"/>
  <c r="I307" i="1"/>
  <c r="G225" i="1"/>
  <c r="I225" i="1"/>
  <c r="I308" i="1" l="1"/>
  <c r="G308" i="1"/>
  <c r="G226" i="1"/>
  <c r="I226" i="1"/>
  <c r="G309" i="1" l="1"/>
  <c r="I309" i="1"/>
  <c r="G227" i="1"/>
  <c r="I227" i="1"/>
  <c r="G310" i="1" l="1"/>
  <c r="I310" i="1"/>
  <c r="I228" i="1"/>
  <c r="G228" i="1"/>
  <c r="G311" i="1" l="1"/>
  <c r="I311" i="1"/>
  <c r="G229" i="1"/>
  <c r="I229" i="1"/>
  <c r="I312" i="1" l="1"/>
  <c r="G312" i="1"/>
  <c r="G230" i="1"/>
  <c r="I230" i="1"/>
  <c r="I313" i="1" l="1"/>
  <c r="G313" i="1"/>
  <c r="G231" i="1"/>
  <c r="I231" i="1"/>
  <c r="G314" i="1" l="1"/>
  <c r="I314" i="1"/>
  <c r="I232" i="1"/>
  <c r="G232" i="1"/>
  <c r="G315" i="1" l="1"/>
  <c r="I315" i="1"/>
  <c r="G233" i="1"/>
  <c r="I233" i="1"/>
  <c r="G316" i="1" l="1"/>
  <c r="I316" i="1"/>
  <c r="G234" i="1"/>
  <c r="I234" i="1"/>
  <c r="G317" i="1" l="1"/>
  <c r="I317" i="1"/>
  <c r="G235" i="1"/>
  <c r="I235" i="1"/>
  <c r="G318" i="1" l="1"/>
  <c r="I318" i="1"/>
  <c r="G236" i="1"/>
  <c r="I236" i="1"/>
  <c r="G319" i="1" l="1"/>
  <c r="I319" i="1"/>
  <c r="G237" i="1"/>
  <c r="I237" i="1"/>
  <c r="G320" i="1" l="1"/>
  <c r="I320" i="1"/>
  <c r="I238" i="1"/>
  <c r="G238" i="1"/>
  <c r="G321" i="1" l="1"/>
  <c r="I321" i="1"/>
  <c r="G239" i="1"/>
  <c r="I239" i="1"/>
  <c r="G322" i="1" l="1"/>
  <c r="I322" i="1"/>
  <c r="G240" i="1"/>
  <c r="I240" i="1"/>
  <c r="I323" i="1" l="1"/>
  <c r="G323" i="1"/>
  <c r="G241" i="1"/>
  <c r="I241" i="1"/>
  <c r="I324" i="1" l="1"/>
  <c r="G324" i="1"/>
  <c r="I242" i="1"/>
  <c r="G242" i="1"/>
  <c r="G325" i="1" l="1"/>
  <c r="I325" i="1"/>
  <c r="G243" i="1"/>
  <c r="I243" i="1"/>
  <c r="I326" i="1" l="1"/>
  <c r="G326" i="1"/>
  <c r="I244" i="1"/>
  <c r="G244" i="1"/>
  <c r="G327" i="1" l="1"/>
  <c r="I327" i="1"/>
  <c r="G245" i="1"/>
  <c r="I245" i="1"/>
  <c r="G328" i="1" l="1"/>
  <c r="I328" i="1"/>
  <c r="I246" i="1"/>
  <c r="G246" i="1"/>
  <c r="I329" i="1" l="1"/>
  <c r="G329" i="1"/>
  <c r="I247" i="1"/>
  <c r="G247" i="1"/>
  <c r="G330" i="1" l="1"/>
  <c r="I330" i="1"/>
  <c r="G248" i="1"/>
  <c r="I248" i="1"/>
  <c r="G331" i="1" l="1"/>
  <c r="I331" i="1"/>
  <c r="G249" i="1"/>
  <c r="I249" i="1"/>
  <c r="G332" i="1" l="1"/>
  <c r="I332" i="1"/>
  <c r="G250" i="1"/>
  <c r="I250" i="1"/>
  <c r="G333" i="1" l="1"/>
  <c r="I333" i="1"/>
  <c r="G251" i="1"/>
  <c r="I251" i="1"/>
  <c r="I334" i="1" l="1"/>
  <c r="G334" i="1"/>
  <c r="G252" i="1"/>
  <c r="I252" i="1"/>
  <c r="I335" i="1" l="1"/>
  <c r="G335" i="1"/>
  <c r="I253" i="1"/>
  <c r="G253" i="1"/>
</calcChain>
</file>

<file path=xl/sharedStrings.xml><?xml version="1.0" encoding="utf-8"?>
<sst xmlns="http://schemas.openxmlformats.org/spreadsheetml/2006/main" count="951" uniqueCount="167">
  <si>
    <t>Item</t>
  </si>
  <si>
    <t>Remarks</t>
  </si>
  <si>
    <t>Round</t>
  </si>
  <si>
    <t>Schedule</t>
  </si>
  <si>
    <t xml:space="preserve"> -</t>
  </si>
  <si>
    <t>Sector</t>
  </si>
  <si>
    <t>District</t>
  </si>
  <si>
    <t>Stratum</t>
  </si>
  <si>
    <t>Sub-Round</t>
  </si>
  <si>
    <t>FOD-Sub-Region</t>
  </si>
  <si>
    <t>Survey Code</t>
  </si>
  <si>
    <t>All</t>
  </si>
  <si>
    <t>Date of Survey</t>
  </si>
  <si>
    <t>Religion</t>
  </si>
  <si>
    <t>Age</t>
  </si>
  <si>
    <t xml:space="preserve"> "03" Generated</t>
  </si>
  <si>
    <t xml:space="preserve"> "02" Generated</t>
  </si>
  <si>
    <t xml:space="preserve"> "04" Generated</t>
  </si>
  <si>
    <t xml:space="preserve"> "06" Generated</t>
  </si>
  <si>
    <t xml:space="preserve"> "05" Generated</t>
  </si>
  <si>
    <t xml:space="preserve"> "07" Generated</t>
  </si>
  <si>
    <t>Second-stage-stratum no.</t>
  </si>
  <si>
    <t>Sample hhld. No.</t>
  </si>
  <si>
    <t>Relation to head</t>
  </si>
  <si>
    <t>2(i)</t>
  </si>
  <si>
    <t>Household size</t>
  </si>
  <si>
    <t>Household type</t>
  </si>
  <si>
    <t xml:space="preserve"> "08" Generated</t>
  </si>
  <si>
    <t>FSU Serial No.</t>
  </si>
  <si>
    <t xml:space="preserve">Social group </t>
  </si>
  <si>
    <t>srl. no.</t>
  </si>
  <si>
    <t xml:space="preserve">        Item</t>
  </si>
  <si>
    <t>Schedule reference</t>
  </si>
  <si>
    <t xml:space="preserve">Byte position </t>
  </si>
  <si>
    <t>Block</t>
  </si>
  <si>
    <t>Col.</t>
  </si>
  <si>
    <t>Length</t>
  </si>
  <si>
    <t>Sub-stratum</t>
  </si>
  <si>
    <t>NSS-Region</t>
  </si>
  <si>
    <t>Marital status</t>
  </si>
  <si>
    <t>Package component (Rs.)</t>
  </si>
  <si>
    <t>Time to canvass (minutes)</t>
  </si>
  <si>
    <t xml:space="preserve"> "211" Generated</t>
  </si>
  <si>
    <t>Sch. 21.1 :    LEVEL - 01(Blocks 1 and 2)</t>
  </si>
  <si>
    <t>Sch. 21.1 :   LEVEL - 04 (Block 5.1)</t>
  </si>
  <si>
    <t>Gender</t>
  </si>
  <si>
    <t>No. of hhd members in the trip</t>
  </si>
  <si>
    <t>Type of trip</t>
  </si>
  <si>
    <t>Starting month</t>
  </si>
  <si>
    <t>Srl. no. of the trip</t>
  </si>
  <si>
    <t>Sch. 21.1:   LEVEL - 05 (Block 5.2)</t>
  </si>
  <si>
    <t>Trip serial no.</t>
  </si>
  <si>
    <t>Hotel</t>
  </si>
  <si>
    <t>Dharamshala</t>
  </si>
  <si>
    <t>Rented house</t>
  </si>
  <si>
    <t>Others</t>
  </si>
  <si>
    <t>Transport</t>
  </si>
  <si>
    <t>Accommodation</t>
  </si>
  <si>
    <t>Sightseeing and entertainment</t>
  </si>
  <si>
    <t>Guest house</t>
  </si>
  <si>
    <t>Food and drink in accommodation unit</t>
  </si>
  <si>
    <t>Sub-total (5.1 to 5.2)</t>
  </si>
  <si>
    <t>4.0</t>
  </si>
  <si>
    <t>5.0</t>
  </si>
  <si>
    <t>Clothing and garments</t>
  </si>
  <si>
    <t>Travel related consumer goods</t>
  </si>
  <si>
    <t>Footwear</t>
  </si>
  <si>
    <t>Toiletries</t>
  </si>
  <si>
    <t>Gems &amp; jewellery</t>
  </si>
  <si>
    <t>7.00</t>
  </si>
  <si>
    <t>6.0</t>
  </si>
  <si>
    <t>8.5.1</t>
  </si>
  <si>
    <t>8.5.2</t>
  </si>
  <si>
    <t>8.5.3</t>
  </si>
  <si>
    <t>8.5.0</t>
  </si>
  <si>
    <t>8.0</t>
  </si>
  <si>
    <t>sub-total (4.0+5.0+6.0+7.00+8.0+9)</t>
  </si>
  <si>
    <t>Total (3+10)</t>
  </si>
  <si>
    <t>Package(Rs.)</t>
  </si>
  <si>
    <t>Accommodation(Rs.)</t>
  </si>
  <si>
    <t>Food and drink(Rs.)</t>
  </si>
  <si>
    <t>Transport(Rs.)</t>
  </si>
  <si>
    <t>Shopping(Rs.)</t>
  </si>
  <si>
    <t>Reason for substitution Code</t>
  </si>
  <si>
    <t>7.10</t>
  </si>
  <si>
    <t xml:space="preserve">                               Text Data Layout</t>
  </si>
  <si>
    <t>State</t>
  </si>
  <si>
    <t>Sample Sub-Unit (SU) Number:</t>
  </si>
  <si>
    <t>Sample Sub-Division Number</t>
  </si>
  <si>
    <t>level</t>
  </si>
  <si>
    <t>Response code of the informant as assessed by SE/JSO</t>
  </si>
  <si>
    <t>Sch.0.0, Block 1</t>
  </si>
  <si>
    <t>"01" generated</t>
  </si>
  <si>
    <t xml:space="preserve"> "80" Generated</t>
  </si>
  <si>
    <t xml:space="preserve">Whether any domestic overnight trip of duration less than or equal to 180 days was performed by any member of the household during last 30 days for leading purposes viz. business, social (including visiting friends and relatives, attending marriages, etc.), education &amp; training, others? </t>
  </si>
  <si>
    <t>Whether any same day trip was performed by any member of the household during last 30 days</t>
  </si>
  <si>
    <t>Multiplier</t>
  </si>
  <si>
    <t>household members srl no.</t>
  </si>
  <si>
    <t>Homestay</t>
  </si>
  <si>
    <t>Sub-total (4.1 to 4.6)</t>
  </si>
  <si>
    <t>public transport for road journey</t>
  </si>
  <si>
    <t>own road transport (including fuel, driver’s cost, repair &amp; maintenance, if any)</t>
  </si>
  <si>
    <t>rental/ hiring of vehicle(including cabs) for road journey</t>
  </si>
  <si>
    <t>Water transport</t>
  </si>
  <si>
    <t>Air transport</t>
  </si>
  <si>
    <t>travel agency services/tour operators</t>
  </si>
  <si>
    <t>others and supporting services</t>
  </si>
  <si>
    <t>sub-total (6.1 to 6.8)</t>
  </si>
  <si>
    <t>processed food (for future consumption)</t>
  </si>
  <si>
    <t>alcohol &amp; tobacco products (for future consumption)</t>
  </si>
  <si>
    <t>books, journals, magazines, stationery, etc.</t>
  </si>
  <si>
    <t>memento, souvenir, etc.</t>
  </si>
  <si>
    <t>others</t>
  </si>
  <si>
    <t>sub-total (7.01 to 7.10)</t>
  </si>
  <si>
    <t xml:space="preserve">cinema, theatre, amusement, personal care like sauna, massaging, etc. </t>
  </si>
  <si>
    <t xml:space="preserve">entry fee and other expenses to religious sites like darshan, offerings, priest fee, etc. (Donation, alms are not included). </t>
  </si>
  <si>
    <t>entry fee to and other expenses at cultural sites</t>
  </si>
  <si>
    <t>sporting activities</t>
  </si>
  <si>
    <t>medicine</t>
  </si>
  <si>
    <t xml:space="preserve">medical accessories </t>
  </si>
  <si>
    <t>other health related services</t>
  </si>
  <si>
    <t>sub-total [8.5.1 to 8.5.3]</t>
  </si>
  <si>
    <t>sub-total [8.1 + 8.2 + 8.3 + 8.4 + 8.5.0]</t>
  </si>
  <si>
    <t xml:space="preserve">whether any reimbursement/direct payment was made by Government organisation (like, Central Government, State Government, Local Bodies, Public Sector Undertakings, organisations wholly funded by government) for this trip </t>
  </si>
  <si>
    <t xml:space="preserve">amount (Rs.) paid/ reimbursed </t>
  </si>
  <si>
    <t>Whether any reimbursement/direct payment was made by other organisation/ institution/ non-household members but not covered in item 12</t>
  </si>
  <si>
    <t xml:space="preserve">Booked accommodation/ transport/ food, etc., through tour operator using internet </t>
  </si>
  <si>
    <t xml:space="preserve">Booked accommodation/ transport/ food, etc. through tour operator without using internet </t>
  </si>
  <si>
    <t xml:space="preserve">Booked accommodation/ transport/ food, etc. directly using internet </t>
  </si>
  <si>
    <t xml:space="preserve">Booked accommodation/ transport/ food, etc. directly without using internet </t>
  </si>
  <si>
    <t>Services of tour guide</t>
  </si>
  <si>
    <t>recreation, religious, cultural and sporting</t>
  </si>
  <si>
    <t>health related (medicine, medical accessories, other health related services)</t>
  </si>
  <si>
    <t>subtotal(col.5 to col.11)</t>
  </si>
  <si>
    <t>total(col. 4+ col. 12)</t>
  </si>
  <si>
    <t xml:space="preserve">Whether Booked accommodation/ transport/ food, etc., through tour operator using internet </t>
  </si>
  <si>
    <t xml:space="preserve">Whether Booked accommodation/ transport/ food, etc. through tour operator without using internet </t>
  </si>
  <si>
    <t xml:space="preserve">Whether Booked accommodation/ transport/ food, etc. directly using internet </t>
  </si>
  <si>
    <t xml:space="preserve">WhetherBooked accommodation/ transport/ food, etc. directly without using internet </t>
  </si>
  <si>
    <t>Sch. 21.1 :    LEVEL - 02 (Block 4)</t>
  </si>
  <si>
    <t>Sch. 21.1 :   LEVEL - 03 (Block 3)</t>
  </si>
  <si>
    <t>Sch. 21.1 :   LEVEL - 06 (Block 6.1)</t>
  </si>
  <si>
    <t>Sch. 21.1 :   LEVEL - 07 (Block 6.2)</t>
  </si>
  <si>
    <t>Sch. 21.1 :   LEVEL - 08 (Block 7)</t>
  </si>
  <si>
    <t>Whether any domestic overnight trips of duration less than or equal to 180 days completed by household members during last 365 days for leading purposes health &amp; medical; holidaying, leisure and recreation; shopping and pilgrimage &amp; religious activities</t>
  </si>
  <si>
    <t>Sl. No. of hhd members who was in that trip</t>
  </si>
  <si>
    <t>Purpose of the trip for the member</t>
  </si>
  <si>
    <t>Mode of travel- major (maximum distance travelled)</t>
  </si>
  <si>
    <t>Mode of travel- minor (2nd maximum distance travelled)</t>
  </si>
  <si>
    <t>Type of stay- major (maximum no. of nights spent)</t>
  </si>
  <si>
    <t>Type of stay- minor (2nd maximum no. of nights spent)</t>
  </si>
  <si>
    <t>No. of nights spent outside UPR (including journey)</t>
  </si>
  <si>
    <t>Leading purpose for all the members performing the trip</t>
  </si>
  <si>
    <t>Destination State code/state code of port of departure</t>
  </si>
  <si>
    <t>Meals/food</t>
  </si>
  <si>
    <t>Food and drink outside the accommodation unit and during journey and transit</t>
  </si>
  <si>
    <t>Whether Services of tour guide were used</t>
  </si>
  <si>
    <t>Railways</t>
  </si>
  <si>
    <t>Sl. No. of hhd member who was in that trip</t>
  </si>
  <si>
    <t>Main destination</t>
  </si>
  <si>
    <t>Household’s last month’s consumption expenditure (excluding all incidental expenditures such as, marriage, hospitalization, institutional education fee etc.)(in Rs)</t>
  </si>
  <si>
    <t>Type of Sample</t>
  </si>
  <si>
    <t>Number of domestic overnight trips of duration less than or equal to 180 days completed by the household during last 365 days for different leading purposes: business</t>
  </si>
  <si>
    <t xml:space="preserve">Number of domestic overnight trips of duration less than or equal to 180 days completed by the household during last 365 days for different leading purposes: social (including visiting friends and relatives, attending marriages, etc.) </t>
  </si>
  <si>
    <t>Number of domestic overnight trips of duration less than or equal to 180 days completed by the household during last 365 days for different leading purposes: education &amp; training</t>
  </si>
  <si>
    <t>Number of domestic overnight trips of duration less than or equal to 180 days completed by the household during last 365 days for different leading purposes: Others</t>
  </si>
  <si>
    <t xml:space="preserve">                                     Domestic Tourism Expenditure Survey, NSS 80th Round (July 2025-June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</si>
</sst>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0"/>
      <name val="Arial"/>
    </font>
    <font>
      <b/>
      <sz val="12"/>
      <name val="Times New Roman"/>
      <family val="1"/>
    </font>
    <font>
      <sz val="12"/>
      <name val="Times New Roman"/>
      <family val="1"/>
    </font>
    <font>
      <b/>
      <sz val="14"/>
      <name val="Times New Roman"/>
      <family val="1"/>
    </font>
    <font>
      <sz val="14"/>
      <name val="Times New Roman"/>
      <family val="1"/>
    </font>
    <font>
      <sz val="10"/>
      <name val="Arial"/>
      <family val="2"/>
    </font>
    <font>
      <sz val="11"/>
      <color indexed="8"/>
      <name val="Calibri"/>
      <family val="2"/>
    </font>
    <font>
      <sz val="11"/>
      <color indexed="8"/>
      <name val="Times New Roman"/>
      <family val="1"/>
    </font>
    <font>
      <b/>
      <sz val="11"/>
      <color indexed="8"/>
      <name val="Times New Roman"/>
      <family val="1"/>
    </font>
    <font>
      <b/>
      <u/>
      <sz val="11"/>
      <name val="Times New Roman"/>
      <family val="1"/>
    </font>
    <font>
      <sz val="11"/>
      <name val="Times New Roman"/>
      <family val="1"/>
    </font>
  </fonts>
  <fills count="2">
    <fill>
      <patternFill patternType="none"/>
    </fill>
    <fill>
      <patternFill patternType="gray125"/>
    </fill>
  </fills>
  <borders count="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6" fillId="0" borderId="0"/>
  </cellStyleXfs>
  <cellXfs count="44">
    <xf numFmtId="0" fontId="0" fillId="0" borderId="0" xfId="0"/>
    <xf numFmtId="0" fontId="10" fillId="0" borderId="0" xfId="0" applyFont="1" applyAlignment="1">
      <alignment horizontal="center"/>
    </xf>
    <xf numFmtId="0" fontId="10" fillId="0" borderId="0" xfId="0" applyFont="1" applyAlignment="1">
      <alignment horizontal="center" vertical="center"/>
    </xf>
    <xf numFmtId="0" fontId="0" fillId="0" borderId="0" xfId="0" applyAlignment="1">
      <alignment horizontal="center"/>
    </xf>
    <xf numFmtId="0" fontId="10" fillId="0" borderId="0" xfId="0" applyFont="1"/>
    <xf numFmtId="0" fontId="10" fillId="0" borderId="0" xfId="0" applyFont="1" applyAlignment="1">
      <alignment vertical="top" wrapText="1"/>
    </xf>
    <xf numFmtId="0" fontId="4" fillId="0" borderId="0" xfId="0" applyFont="1"/>
    <xf numFmtId="0" fontId="9" fillId="0" borderId="0" xfId="0" applyFont="1"/>
    <xf numFmtId="0" fontId="8" fillId="0" borderId="0" xfId="1" applyFont="1"/>
    <xf numFmtId="0" fontId="7" fillId="0" borderId="0" xfId="1" applyFont="1" applyAlignment="1">
      <alignment horizontal="center"/>
    </xf>
    <xf numFmtId="0" fontId="8" fillId="0" borderId="0" xfId="1" applyFont="1" applyAlignment="1">
      <alignment horizontal="center" vertical="center"/>
    </xf>
    <xf numFmtId="0" fontId="8" fillId="0" borderId="0" xfId="1" applyFont="1" applyAlignment="1">
      <alignment horizontal="center"/>
    </xf>
    <xf numFmtId="0" fontId="6" fillId="0" borderId="0" xfId="1" applyAlignment="1">
      <alignment horizontal="center"/>
    </xf>
    <xf numFmtId="0" fontId="8" fillId="0" borderId="1" xfId="1" applyFont="1" applyBorder="1" applyAlignment="1">
      <alignment horizontal="center" vertical="top" wrapText="1"/>
    </xf>
    <xf numFmtId="0" fontId="7" fillId="0" borderId="1" xfId="1" applyFont="1" applyBorder="1" applyAlignment="1">
      <alignment horizontal="center" vertical="top" wrapText="1"/>
    </xf>
    <xf numFmtId="0" fontId="8" fillId="0" borderId="1" xfId="1" applyFont="1" applyBorder="1" applyAlignment="1">
      <alignment horizontal="center" vertical="center" wrapText="1"/>
    </xf>
    <xf numFmtId="0" fontId="7" fillId="0" borderId="0" xfId="1" applyFont="1" applyAlignment="1">
      <alignment horizontal="center" vertical="center" wrapText="1"/>
    </xf>
    <xf numFmtId="0" fontId="7" fillId="0" borderId="0" xfId="1" applyFont="1" applyAlignment="1">
      <alignment horizontal="center" vertical="top" wrapText="1"/>
    </xf>
    <xf numFmtId="0" fontId="6" fillId="0" borderId="0" xfId="1" applyAlignment="1">
      <alignment horizontal="center" vertical="top" wrapText="1"/>
    </xf>
    <xf numFmtId="0" fontId="7" fillId="0" borderId="0" xfId="1" applyFont="1" applyAlignment="1">
      <alignment horizontal="center" vertical="center"/>
    </xf>
    <xf numFmtId="0" fontId="8" fillId="0" borderId="0" xfId="1" applyFont="1" applyAlignment="1">
      <alignment horizontal="center" vertical="center" wrapText="1"/>
    </xf>
    <xf numFmtId="0" fontId="8" fillId="0" borderId="0" xfId="1" applyFont="1" applyAlignment="1">
      <alignment horizontal="center" vertical="top" wrapText="1"/>
    </xf>
    <xf numFmtId="0" fontId="10" fillId="0" borderId="0" xfId="0" applyFont="1" applyAlignment="1">
      <alignment horizontal="center" vertical="top" wrapText="1"/>
    </xf>
    <xf numFmtId="0" fontId="0" fillId="0" borderId="0" xfId="0" applyAlignment="1">
      <alignment vertical="top" wrapText="1"/>
    </xf>
    <xf numFmtId="0" fontId="10" fillId="0" borderId="0" xfId="0" applyFont="1" applyAlignment="1">
      <alignment horizontal="center" vertical="center" wrapText="1"/>
    </xf>
    <xf numFmtId="0" fontId="5" fillId="0" borderId="0" xfId="0" applyFont="1"/>
    <xf numFmtId="0" fontId="10" fillId="0" borderId="0" xfId="0" applyFont="1" applyAlignment="1">
      <alignment vertical="top"/>
    </xf>
    <xf numFmtId="0" fontId="10" fillId="0" borderId="0" xfId="0" applyFont="1" applyAlignment="1">
      <alignment horizontal="center" vertical="top"/>
    </xf>
    <xf numFmtId="49" fontId="10" fillId="0" borderId="0" xfId="0" applyNumberFormat="1" applyFont="1" applyAlignment="1">
      <alignment horizontal="center" vertical="center"/>
    </xf>
    <xf numFmtId="0" fontId="10" fillId="0" borderId="0" xfId="0" quotePrefix="1" applyFont="1" applyAlignment="1">
      <alignment horizontal="center" vertical="center"/>
    </xf>
    <xf numFmtId="0" fontId="2" fillId="0" borderId="0" xfId="0" applyFont="1" applyAlignment="1">
      <alignment horizontal="center"/>
    </xf>
    <xf numFmtId="0" fontId="0" fillId="0" borderId="0" xfId="0" applyAlignment="1">
      <alignment wrapText="1"/>
    </xf>
    <xf numFmtId="0" fontId="0" fillId="0" borderId="0" xfId="0" applyAlignment="1">
      <alignment horizontal="center" vertical="center"/>
    </xf>
    <xf numFmtId="0" fontId="2" fillId="0" borderId="0" xfId="0" applyFont="1"/>
    <xf numFmtId="0" fontId="2" fillId="0" borderId="0" xfId="0" applyFont="1" applyAlignment="1">
      <alignment horizontal="center" vertical="center"/>
    </xf>
    <xf numFmtId="0" fontId="8" fillId="0" borderId="1" xfId="1" applyFont="1" applyBorder="1" applyAlignment="1">
      <alignment horizontal="center" vertical="top" wrapText="1"/>
    </xf>
    <xf numFmtId="0" fontId="8" fillId="0" borderId="4" xfId="1" applyFont="1" applyBorder="1" applyAlignment="1">
      <alignment horizontal="center" vertical="top" wrapText="1"/>
    </xf>
    <xf numFmtId="0" fontId="8" fillId="0" borderId="5" xfId="1" applyFont="1" applyBorder="1" applyAlignment="1">
      <alignment horizontal="center" vertical="top" wrapText="1"/>
    </xf>
    <xf numFmtId="0" fontId="8" fillId="0" borderId="6" xfId="1" applyFont="1" applyBorder="1" applyAlignment="1">
      <alignment horizontal="center" vertical="top" wrapText="1"/>
    </xf>
    <xf numFmtId="0" fontId="8" fillId="0" borderId="2" xfId="1" applyFont="1" applyBorder="1" applyAlignment="1">
      <alignment horizontal="center" vertical="top" wrapText="1"/>
    </xf>
    <xf numFmtId="0" fontId="8" fillId="0" borderId="3" xfId="1" applyFont="1" applyBorder="1" applyAlignment="1">
      <alignment horizontal="center" vertical="top" wrapText="1"/>
    </xf>
    <xf numFmtId="0" fontId="8" fillId="0" borderId="7" xfId="1" applyFont="1" applyBorder="1" applyAlignment="1">
      <alignment horizontal="center" vertical="top" wrapText="1"/>
    </xf>
    <xf numFmtId="0" fontId="3" fillId="0" borderId="0" xfId="0" applyFont="1" applyAlignment="1">
      <alignment horizontal="center"/>
    </xf>
    <xf numFmtId="0" fontId="1" fillId="0" borderId="0" xfId="0" applyFont="1" applyAlignment="1">
      <alignment horizontal="center" vertical="top"/>
    </xf>
  </cellXfs>
  <cellStyles count="2">
    <cellStyle name="Normal" xfId="0" builtinId="0"/>
    <cellStyle name="Normal_Sheet1" xfId="1" xr:uid="{E3EFFD10-104D-459C-BBFF-1521D403C48D}"/>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600DE-0A05-45E0-908F-921AAFF2A1E7}">
  <dimension ref="A1:M432"/>
  <sheetViews>
    <sheetView tabSelected="1" topLeftCell="A226" zoomScale="85" zoomScaleNormal="85" zoomScaleSheetLayoutView="85" workbookViewId="0">
      <selection activeCell="B202" sqref="B202"/>
    </sheetView>
  </sheetViews>
  <sheetFormatPr defaultColWidth="9.140625" defaultRowHeight="15.75" x14ac:dyDescent="0.25"/>
  <cols>
    <col min="1" max="1" width="11.5703125" style="33" customWidth="1"/>
    <col min="2" max="2" width="84.5703125" style="33" customWidth="1"/>
    <col min="3" max="3" width="12.28515625" style="30" customWidth="1"/>
    <col min="4" max="4" width="13.140625" style="34" customWidth="1"/>
    <col min="5" max="5" width="10.28515625" style="30" customWidth="1"/>
    <col min="6" max="6" width="7.7109375" style="30" bestFit="1" customWidth="1"/>
    <col min="7" max="7" width="8.140625" style="30" customWidth="1"/>
    <col min="8" max="9" width="7.28515625" style="30" customWidth="1"/>
    <col min="10" max="10" width="19.85546875" style="30" bestFit="1" customWidth="1"/>
    <col min="11" max="11" width="9.140625" style="33"/>
    <col min="12" max="12" width="16.140625" style="33" bestFit="1" customWidth="1"/>
    <col min="13" max="13" width="10.140625" style="33" bestFit="1" customWidth="1"/>
    <col min="14" max="16384" width="9.140625" style="33"/>
  </cols>
  <sheetData>
    <row r="1" spans="1:11" s="6" customFormat="1" ht="18.75" x14ac:dyDescent="0.3">
      <c r="A1" s="42" t="s">
        <v>85</v>
      </c>
      <c r="B1" s="42"/>
      <c r="C1" s="42"/>
      <c r="D1" s="42"/>
      <c r="E1" s="42"/>
      <c r="F1" s="42"/>
      <c r="G1" s="42"/>
      <c r="H1" s="42"/>
      <c r="I1" s="42"/>
      <c r="J1" s="42"/>
    </row>
    <row r="2" spans="1:11" customFormat="1" ht="15.75" customHeight="1" x14ac:dyDescent="0.2">
      <c r="A2" s="43" t="s">
        <v>166</v>
      </c>
      <c r="B2" s="43"/>
      <c r="C2" s="43"/>
      <c r="D2" s="43"/>
      <c r="E2" s="43"/>
      <c r="F2" s="43"/>
      <c r="G2" s="43"/>
      <c r="H2" s="43"/>
      <c r="I2" s="43"/>
      <c r="J2" s="43"/>
    </row>
    <row r="3" spans="1:11" customFormat="1" ht="15" customHeight="1" x14ac:dyDescent="0.2">
      <c r="A3" s="43"/>
      <c r="B3" s="43"/>
      <c r="C3" s="43"/>
      <c r="D3" s="43"/>
      <c r="E3" s="43"/>
      <c r="F3" s="43"/>
      <c r="G3" s="43"/>
      <c r="H3" s="43"/>
      <c r="I3" s="43"/>
      <c r="J3" s="43"/>
    </row>
    <row r="4" spans="1:11" s="4" customFormat="1" ht="15" x14ac:dyDescent="0.25">
      <c r="C4" s="1"/>
      <c r="D4" s="2"/>
      <c r="E4" s="1"/>
      <c r="F4" s="1"/>
      <c r="G4" s="1"/>
      <c r="H4" s="1"/>
      <c r="I4" s="1"/>
      <c r="J4" s="1"/>
    </row>
    <row r="5" spans="1:11" s="4" customFormat="1" ht="15" x14ac:dyDescent="0.25">
      <c r="B5" s="7" t="s">
        <v>43</v>
      </c>
      <c r="C5" s="1"/>
      <c r="D5" s="2"/>
      <c r="E5" s="1"/>
      <c r="F5" s="1"/>
      <c r="G5" s="1"/>
      <c r="H5" s="1"/>
      <c r="I5" s="1"/>
      <c r="J5" s="1"/>
    </row>
    <row r="6" spans="1:11" s="4" customFormat="1" ht="15" x14ac:dyDescent="0.25">
      <c r="A6" s="8"/>
      <c r="B6" s="8"/>
      <c r="C6" s="9"/>
      <c r="D6" s="10"/>
      <c r="E6" s="11"/>
      <c r="F6" s="12"/>
      <c r="G6" s="12"/>
      <c r="H6" s="12"/>
      <c r="I6" s="12"/>
      <c r="J6" s="12"/>
    </row>
    <row r="7" spans="1:11" s="4" customFormat="1" ht="15" x14ac:dyDescent="0.25">
      <c r="A7" s="39" t="s">
        <v>30</v>
      </c>
      <c r="B7" s="41" t="s">
        <v>31</v>
      </c>
      <c r="C7" s="35" t="s">
        <v>32</v>
      </c>
      <c r="D7" s="35"/>
      <c r="E7" s="35"/>
      <c r="F7" s="35" t="s">
        <v>36</v>
      </c>
      <c r="G7" s="35" t="s">
        <v>33</v>
      </c>
      <c r="H7" s="35"/>
      <c r="I7" s="36"/>
      <c r="J7" s="37" t="s">
        <v>1</v>
      </c>
    </row>
    <row r="8" spans="1:11" s="4" customFormat="1" ht="15" customHeight="1" x14ac:dyDescent="0.25">
      <c r="A8" s="40"/>
      <c r="B8" s="41"/>
      <c r="C8" s="14" t="s">
        <v>34</v>
      </c>
      <c r="D8" s="15" t="s">
        <v>0</v>
      </c>
      <c r="E8" s="13" t="s">
        <v>35</v>
      </c>
      <c r="F8" s="35"/>
      <c r="G8" s="35"/>
      <c r="H8" s="35"/>
      <c r="I8" s="36"/>
      <c r="J8" s="38"/>
    </row>
    <row r="9" spans="1:11" s="4" customFormat="1" ht="15" x14ac:dyDescent="0.25">
      <c r="A9" s="1">
        <v>1</v>
      </c>
      <c r="B9" t="s">
        <v>2</v>
      </c>
      <c r="C9" s="1">
        <v>1</v>
      </c>
      <c r="D9" s="2">
        <v>9</v>
      </c>
      <c r="E9" s="1"/>
      <c r="F9" s="3">
        <v>2</v>
      </c>
      <c r="G9" s="1">
        <v>1</v>
      </c>
      <c r="H9" s="1" t="s">
        <v>4</v>
      </c>
      <c r="I9" s="1">
        <f>F9</f>
        <v>2</v>
      </c>
      <c r="J9" s="1" t="s">
        <v>93</v>
      </c>
      <c r="K9"/>
    </row>
    <row r="10" spans="1:11" s="4" customFormat="1" ht="15" x14ac:dyDescent="0.25">
      <c r="A10" s="1">
        <v>2</v>
      </c>
      <c r="B10" t="s">
        <v>3</v>
      </c>
      <c r="C10" s="1">
        <v>1</v>
      </c>
      <c r="D10" s="2">
        <v>10</v>
      </c>
      <c r="E10" s="1"/>
      <c r="F10" s="3">
        <v>3</v>
      </c>
      <c r="G10" s="1">
        <f>I9+1</f>
        <v>3</v>
      </c>
      <c r="H10" s="1" t="s">
        <v>4</v>
      </c>
      <c r="I10" s="1">
        <f>I9+F10</f>
        <v>5</v>
      </c>
      <c r="J10" s="1" t="s">
        <v>42</v>
      </c>
      <c r="K10"/>
    </row>
    <row r="11" spans="1:11" s="4" customFormat="1" ht="15" x14ac:dyDescent="0.25">
      <c r="A11" s="1">
        <v>3</v>
      </c>
      <c r="B11" t="s">
        <v>28</v>
      </c>
      <c r="C11" s="1">
        <v>1</v>
      </c>
      <c r="D11" s="2">
        <v>11</v>
      </c>
      <c r="E11" s="1"/>
      <c r="F11" s="3">
        <v>5</v>
      </c>
      <c r="G11" s="1">
        <f>I10+1</f>
        <v>6</v>
      </c>
      <c r="H11" s="1" t="s">
        <v>4</v>
      </c>
      <c r="I11" s="1">
        <f>I10+F11</f>
        <v>10</v>
      </c>
      <c r="J11" s="1"/>
      <c r="K11"/>
    </row>
    <row r="12" spans="1:11" s="4" customFormat="1" ht="15" x14ac:dyDescent="0.25">
      <c r="A12" s="1">
        <v>4</v>
      </c>
      <c r="B12" t="s">
        <v>161</v>
      </c>
      <c r="C12" s="1">
        <v>1</v>
      </c>
      <c r="D12" s="2">
        <v>2</v>
      </c>
      <c r="E12" s="1"/>
      <c r="F12" s="3">
        <v>1</v>
      </c>
      <c r="G12" s="1">
        <f t="shared" ref="G12:G22" si="0">I11+1</f>
        <v>11</v>
      </c>
      <c r="H12" s="1" t="s">
        <v>4</v>
      </c>
      <c r="I12" s="1">
        <f t="shared" ref="I12:I22" si="1">I11+F12</f>
        <v>11</v>
      </c>
      <c r="J12" s="1"/>
      <c r="K12"/>
    </row>
    <row r="13" spans="1:11" s="4" customFormat="1" ht="15" x14ac:dyDescent="0.25">
      <c r="A13" s="1">
        <v>5</v>
      </c>
      <c r="B13" t="s">
        <v>5</v>
      </c>
      <c r="C13" s="1">
        <v>1</v>
      </c>
      <c r="D13" s="2">
        <v>1</v>
      </c>
      <c r="E13" s="1"/>
      <c r="F13" s="3">
        <v>1</v>
      </c>
      <c r="G13" s="1">
        <f t="shared" si="0"/>
        <v>12</v>
      </c>
      <c r="H13" s="1" t="s">
        <v>4</v>
      </c>
      <c r="I13" s="1">
        <f t="shared" si="1"/>
        <v>12</v>
      </c>
      <c r="J13" s="1"/>
      <c r="K13"/>
    </row>
    <row r="14" spans="1:11" s="4" customFormat="1" ht="15" x14ac:dyDescent="0.25">
      <c r="A14" s="1">
        <v>6</v>
      </c>
      <c r="B14" t="s">
        <v>86</v>
      </c>
      <c r="C14" s="1">
        <v>1</v>
      </c>
      <c r="D14" s="2">
        <v>3</v>
      </c>
      <c r="E14" s="1"/>
      <c r="F14" s="3">
        <v>2</v>
      </c>
      <c r="G14" s="1">
        <f t="shared" si="0"/>
        <v>13</v>
      </c>
      <c r="H14" s="1" t="s">
        <v>4</v>
      </c>
      <c r="I14" s="1">
        <f t="shared" si="1"/>
        <v>14</v>
      </c>
      <c r="J14" s="1"/>
      <c r="K14"/>
    </row>
    <row r="15" spans="1:11" s="4" customFormat="1" ht="15" x14ac:dyDescent="0.25">
      <c r="A15" s="1">
        <v>7</v>
      </c>
      <c r="B15" t="s">
        <v>38</v>
      </c>
      <c r="C15" s="1"/>
      <c r="D15" s="2"/>
      <c r="E15" s="1"/>
      <c r="F15" s="3">
        <v>3</v>
      </c>
      <c r="G15" s="1">
        <f t="shared" si="0"/>
        <v>15</v>
      </c>
      <c r="H15" s="1" t="s">
        <v>4</v>
      </c>
      <c r="I15" s="1">
        <f t="shared" si="1"/>
        <v>17</v>
      </c>
      <c r="J15" s="1" t="s">
        <v>91</v>
      </c>
      <c r="K15"/>
    </row>
    <row r="16" spans="1:11" s="4" customFormat="1" ht="15" x14ac:dyDescent="0.25">
      <c r="A16" s="1">
        <v>8</v>
      </c>
      <c r="B16" t="s">
        <v>6</v>
      </c>
      <c r="C16" s="1"/>
      <c r="D16" s="2"/>
      <c r="E16" s="1"/>
      <c r="F16" s="3">
        <v>2</v>
      </c>
      <c r="G16" s="1">
        <f t="shared" si="0"/>
        <v>18</v>
      </c>
      <c r="H16" s="1" t="s">
        <v>4</v>
      </c>
      <c r="I16" s="1">
        <f t="shared" si="1"/>
        <v>19</v>
      </c>
      <c r="J16" s="1" t="s">
        <v>91</v>
      </c>
      <c r="K16"/>
    </row>
    <row r="17" spans="1:11" s="4" customFormat="1" ht="15" x14ac:dyDescent="0.25">
      <c r="A17" s="1">
        <v>9</v>
      </c>
      <c r="B17" t="s">
        <v>7</v>
      </c>
      <c r="C17" s="1"/>
      <c r="D17" s="2"/>
      <c r="E17" s="1"/>
      <c r="F17" s="3">
        <v>2</v>
      </c>
      <c r="G17" s="1">
        <f t="shared" si="0"/>
        <v>20</v>
      </c>
      <c r="H17" s="1" t="s">
        <v>4</v>
      </c>
      <c r="I17" s="1">
        <f t="shared" si="1"/>
        <v>21</v>
      </c>
      <c r="J17" s="1" t="s">
        <v>91</v>
      </c>
      <c r="K17"/>
    </row>
    <row r="18" spans="1:11" s="4" customFormat="1" ht="15" x14ac:dyDescent="0.25">
      <c r="A18" s="1">
        <v>10</v>
      </c>
      <c r="B18" t="s">
        <v>37</v>
      </c>
      <c r="C18" s="1"/>
      <c r="D18" s="2"/>
      <c r="E18" s="1"/>
      <c r="F18" s="3">
        <v>2</v>
      </c>
      <c r="G18" s="1">
        <f t="shared" si="0"/>
        <v>22</v>
      </c>
      <c r="H18" s="1" t="s">
        <v>4</v>
      </c>
      <c r="I18" s="1">
        <f t="shared" si="1"/>
        <v>23</v>
      </c>
      <c r="J18" s="1" t="s">
        <v>91</v>
      </c>
      <c r="K18"/>
    </row>
    <row r="19" spans="1:11" s="4" customFormat="1" ht="15" x14ac:dyDescent="0.25">
      <c r="A19" s="1">
        <v>11</v>
      </c>
      <c r="B19" t="s">
        <v>8</v>
      </c>
      <c r="C19" s="1"/>
      <c r="D19" s="2"/>
      <c r="E19" s="1"/>
      <c r="F19" s="3">
        <v>1</v>
      </c>
      <c r="G19" s="1">
        <f t="shared" si="0"/>
        <v>24</v>
      </c>
      <c r="H19" s="1" t="s">
        <v>4</v>
      </c>
      <c r="I19" s="1">
        <f t="shared" si="1"/>
        <v>24</v>
      </c>
      <c r="J19" s="1" t="s">
        <v>91</v>
      </c>
      <c r="K19"/>
    </row>
    <row r="20" spans="1:11" s="4" customFormat="1" ht="15" x14ac:dyDescent="0.25">
      <c r="A20" s="1">
        <v>12</v>
      </c>
      <c r="B20" t="s">
        <v>9</v>
      </c>
      <c r="C20" s="1"/>
      <c r="D20" s="2"/>
      <c r="E20" s="1"/>
      <c r="F20" s="3">
        <v>4</v>
      </c>
      <c r="G20" s="1">
        <f t="shared" si="0"/>
        <v>25</v>
      </c>
      <c r="H20" s="1" t="s">
        <v>4</v>
      </c>
      <c r="I20" s="1">
        <f t="shared" si="1"/>
        <v>28</v>
      </c>
      <c r="J20" s="1" t="s">
        <v>91</v>
      </c>
      <c r="K20"/>
    </row>
    <row r="21" spans="1:11" s="4" customFormat="1" ht="15" x14ac:dyDescent="0.25">
      <c r="A21" s="1">
        <v>13</v>
      </c>
      <c r="B21" t="s">
        <v>87</v>
      </c>
      <c r="C21" s="1">
        <v>1</v>
      </c>
      <c r="D21" s="2">
        <v>8</v>
      </c>
      <c r="E21" s="1"/>
      <c r="F21" s="3">
        <v>2</v>
      </c>
      <c r="G21" s="1">
        <f t="shared" si="0"/>
        <v>29</v>
      </c>
      <c r="H21" s="1" t="s">
        <v>4</v>
      </c>
      <c r="I21" s="1">
        <f t="shared" si="1"/>
        <v>30</v>
      </c>
      <c r="J21" s="1"/>
      <c r="K21"/>
    </row>
    <row r="22" spans="1:11" s="4" customFormat="1" ht="15" x14ac:dyDescent="0.25">
      <c r="A22" s="1">
        <v>14</v>
      </c>
      <c r="B22" t="s">
        <v>88</v>
      </c>
      <c r="C22" s="1">
        <v>1</v>
      </c>
      <c r="D22" s="2">
        <v>12</v>
      </c>
      <c r="E22" s="1"/>
      <c r="F22" s="3">
        <v>1</v>
      </c>
      <c r="G22" s="1">
        <f t="shared" si="0"/>
        <v>31</v>
      </c>
      <c r="H22" s="1" t="s">
        <v>4</v>
      </c>
      <c r="I22" s="1">
        <f t="shared" si="1"/>
        <v>31</v>
      </c>
      <c r="J22" s="1"/>
      <c r="K22"/>
    </row>
    <row r="23" spans="1:11" s="4" customFormat="1" ht="15" x14ac:dyDescent="0.25">
      <c r="A23" s="1">
        <v>15</v>
      </c>
      <c r="B23" t="s">
        <v>21</v>
      </c>
      <c r="C23" s="1">
        <v>1</v>
      </c>
      <c r="D23" s="2">
        <v>13</v>
      </c>
      <c r="E23" s="1"/>
      <c r="F23" s="3">
        <v>1</v>
      </c>
      <c r="G23" s="1">
        <f t="shared" ref="G23:G31" si="2">I22+1</f>
        <v>32</v>
      </c>
      <c r="H23" s="1" t="s">
        <v>4</v>
      </c>
      <c r="I23" s="1">
        <f t="shared" ref="I23:I31" si="3">I22+F23</f>
        <v>32</v>
      </c>
      <c r="J23" s="1"/>
      <c r="K23"/>
    </row>
    <row r="24" spans="1:11" s="4" customFormat="1" ht="15" x14ac:dyDescent="0.25">
      <c r="A24" s="1">
        <v>16</v>
      </c>
      <c r="B24" t="s">
        <v>22</v>
      </c>
      <c r="C24" s="1">
        <v>1</v>
      </c>
      <c r="D24" s="2">
        <v>14</v>
      </c>
      <c r="E24" s="1"/>
      <c r="F24" s="3">
        <v>2</v>
      </c>
      <c r="G24" s="1">
        <f t="shared" si="2"/>
        <v>33</v>
      </c>
      <c r="H24" s="1" t="s">
        <v>4</v>
      </c>
      <c r="I24" s="1">
        <f t="shared" si="3"/>
        <v>34</v>
      </c>
      <c r="J24" s="12"/>
      <c r="K24"/>
    </row>
    <row r="25" spans="1:11" s="4" customFormat="1" ht="15" x14ac:dyDescent="0.25">
      <c r="A25" s="1">
        <v>17</v>
      </c>
      <c r="B25" t="s">
        <v>89</v>
      </c>
      <c r="C25" s="1">
        <v>1</v>
      </c>
      <c r="D25" s="2"/>
      <c r="E25" s="1"/>
      <c r="F25" s="3">
        <v>2</v>
      </c>
      <c r="G25" s="1">
        <f t="shared" si="2"/>
        <v>35</v>
      </c>
      <c r="H25" s="1" t="s">
        <v>4</v>
      </c>
      <c r="I25" s="1">
        <f t="shared" si="3"/>
        <v>36</v>
      </c>
      <c r="J25" s="1" t="s">
        <v>92</v>
      </c>
      <c r="K25"/>
    </row>
    <row r="26" spans="1:11" s="4" customFormat="1" ht="15" x14ac:dyDescent="0.25">
      <c r="A26" s="1">
        <v>18</v>
      </c>
      <c r="B26" t="s">
        <v>10</v>
      </c>
      <c r="C26" s="1">
        <v>1</v>
      </c>
      <c r="D26" s="2">
        <v>15</v>
      </c>
      <c r="E26" s="1"/>
      <c r="F26" s="3">
        <v>1</v>
      </c>
      <c r="G26" s="1">
        <f t="shared" si="2"/>
        <v>37</v>
      </c>
      <c r="H26" s="1" t="s">
        <v>4</v>
      </c>
      <c r="I26" s="1">
        <f t="shared" si="3"/>
        <v>37</v>
      </c>
      <c r="J26" s="1"/>
      <c r="K26"/>
    </row>
    <row r="27" spans="1:11" s="4" customFormat="1" ht="15" x14ac:dyDescent="0.25">
      <c r="A27" s="1">
        <v>19</v>
      </c>
      <c r="B27" s="4" t="s">
        <v>83</v>
      </c>
      <c r="C27" s="1">
        <v>1</v>
      </c>
      <c r="D27" s="2">
        <v>16</v>
      </c>
      <c r="E27" s="1"/>
      <c r="F27" s="3">
        <v>1</v>
      </c>
      <c r="G27" s="1">
        <f t="shared" si="2"/>
        <v>38</v>
      </c>
      <c r="H27" s="1" t="s">
        <v>4</v>
      </c>
      <c r="I27" s="1">
        <f t="shared" si="3"/>
        <v>38</v>
      </c>
      <c r="J27" s="1"/>
      <c r="K27"/>
    </row>
    <row r="28" spans="1:11" s="4" customFormat="1" ht="15" x14ac:dyDescent="0.25">
      <c r="A28" s="1">
        <v>20</v>
      </c>
      <c r="B28" t="s">
        <v>12</v>
      </c>
      <c r="C28" s="1">
        <v>2</v>
      </c>
      <c r="D28" s="16" t="s">
        <v>24</v>
      </c>
      <c r="E28" s="17">
        <v>3</v>
      </c>
      <c r="F28" s="3">
        <v>10</v>
      </c>
      <c r="G28" s="1">
        <f t="shared" si="2"/>
        <v>39</v>
      </c>
      <c r="H28" s="1" t="s">
        <v>4</v>
      </c>
      <c r="I28" s="1">
        <f t="shared" si="3"/>
        <v>48</v>
      </c>
      <c r="J28" s="18"/>
      <c r="K28"/>
    </row>
    <row r="29" spans="1:11" s="4" customFormat="1" ht="15" x14ac:dyDescent="0.25">
      <c r="A29" s="1">
        <v>21</v>
      </c>
      <c r="B29" t="s">
        <v>41</v>
      </c>
      <c r="C29" s="1">
        <v>2</v>
      </c>
      <c r="D29" s="19">
        <v>3</v>
      </c>
      <c r="E29" s="9">
        <v>3</v>
      </c>
      <c r="F29" s="3">
        <v>3</v>
      </c>
      <c r="G29" s="1">
        <f t="shared" si="2"/>
        <v>49</v>
      </c>
      <c r="H29" s="1" t="s">
        <v>4</v>
      </c>
      <c r="I29" s="1">
        <f t="shared" si="3"/>
        <v>51</v>
      </c>
      <c r="J29" s="12"/>
      <c r="K29"/>
    </row>
    <row r="30" spans="1:11" s="4" customFormat="1" ht="15" x14ac:dyDescent="0.25">
      <c r="A30" s="1">
        <v>22</v>
      </c>
      <c r="B30" t="s">
        <v>90</v>
      </c>
      <c r="C30" s="1">
        <v>2</v>
      </c>
      <c r="D30" s="2">
        <v>9</v>
      </c>
      <c r="E30" s="1"/>
      <c r="F30" s="3">
        <v>1</v>
      </c>
      <c r="G30" s="1">
        <f t="shared" si="2"/>
        <v>52</v>
      </c>
      <c r="H30" s="1" t="s">
        <v>4</v>
      </c>
      <c r="I30" s="1">
        <f t="shared" si="3"/>
        <v>52</v>
      </c>
      <c r="J30" s="1"/>
      <c r="K30"/>
    </row>
    <row r="31" spans="1:11" s="4" customFormat="1" ht="15" x14ac:dyDescent="0.25">
      <c r="A31" s="1">
        <v>23</v>
      </c>
      <c r="B31" s="4" t="s">
        <v>96</v>
      </c>
      <c r="C31" s="1"/>
      <c r="D31" s="2"/>
      <c r="E31" s="1"/>
      <c r="F31" s="1">
        <v>10</v>
      </c>
      <c r="G31" s="1">
        <f t="shared" si="2"/>
        <v>53</v>
      </c>
      <c r="H31" s="1" t="s">
        <v>4</v>
      </c>
      <c r="I31" s="1">
        <f t="shared" si="3"/>
        <v>62</v>
      </c>
      <c r="J31" s="1"/>
      <c r="K31"/>
    </row>
    <row r="32" spans="1:11" s="4" customFormat="1" ht="15" x14ac:dyDescent="0.25">
      <c r="A32" s="1"/>
      <c r="C32" s="1"/>
      <c r="D32" s="2"/>
      <c r="E32" s="1"/>
      <c r="F32" s="1"/>
      <c r="G32" s="1"/>
      <c r="H32" s="1"/>
      <c r="I32" s="1"/>
      <c r="J32" s="1"/>
      <c r="K32"/>
    </row>
    <row r="33" spans="1:11" s="4" customFormat="1" ht="15" x14ac:dyDescent="0.25">
      <c r="C33" s="1"/>
      <c r="D33" s="2"/>
      <c r="E33" s="1"/>
      <c r="F33" s="1"/>
      <c r="G33" s="1"/>
      <c r="H33" s="1"/>
      <c r="I33" s="1"/>
      <c r="J33" s="1"/>
      <c r="K33"/>
    </row>
    <row r="34" spans="1:11" s="4" customFormat="1" ht="15" x14ac:dyDescent="0.25">
      <c r="B34" s="7" t="s">
        <v>139</v>
      </c>
      <c r="C34" s="1"/>
      <c r="D34" s="2"/>
      <c r="E34" s="1"/>
      <c r="F34" s="1"/>
      <c r="G34" s="1"/>
      <c r="H34" s="1"/>
      <c r="I34" s="1"/>
      <c r="J34" s="1"/>
      <c r="K34"/>
    </row>
    <row r="35" spans="1:11" s="4" customFormat="1" ht="15" x14ac:dyDescent="0.25">
      <c r="C35" s="1"/>
      <c r="D35" s="2"/>
      <c r="E35" s="1"/>
      <c r="F35" s="1"/>
      <c r="G35" s="1"/>
      <c r="H35" s="1"/>
      <c r="I35" s="1"/>
      <c r="J35" s="1"/>
      <c r="K35"/>
    </row>
    <row r="36" spans="1:11" s="4" customFormat="1" ht="15" customHeight="1" x14ac:dyDescent="0.25">
      <c r="A36" s="39" t="s">
        <v>30</v>
      </c>
      <c r="B36" s="41" t="s">
        <v>31</v>
      </c>
      <c r="C36" s="35" t="s">
        <v>32</v>
      </c>
      <c r="D36" s="35"/>
      <c r="E36" s="35"/>
      <c r="F36" s="35" t="s">
        <v>36</v>
      </c>
      <c r="G36" s="35" t="s">
        <v>33</v>
      </c>
      <c r="H36" s="35"/>
      <c r="I36" s="36"/>
      <c r="J36" s="37" t="s">
        <v>1</v>
      </c>
    </row>
    <row r="37" spans="1:11" s="4" customFormat="1" ht="15" x14ac:dyDescent="0.25">
      <c r="A37" s="40"/>
      <c r="B37" s="41"/>
      <c r="C37" s="14" t="s">
        <v>34</v>
      </c>
      <c r="D37" s="15" t="s">
        <v>0</v>
      </c>
      <c r="E37" s="13" t="s">
        <v>35</v>
      </c>
      <c r="F37" s="35"/>
      <c r="G37" s="35"/>
      <c r="H37" s="35"/>
      <c r="I37" s="36"/>
      <c r="J37" s="38"/>
    </row>
    <row r="38" spans="1:11" s="4" customFormat="1" ht="15" x14ac:dyDescent="0.25">
      <c r="A38" s="1">
        <v>1</v>
      </c>
      <c r="B38" t="s">
        <v>2</v>
      </c>
      <c r="C38" s="1">
        <v>1</v>
      </c>
      <c r="D38" s="2">
        <v>9</v>
      </c>
      <c r="E38" s="1"/>
      <c r="F38" s="3">
        <v>2</v>
      </c>
      <c r="G38" s="1">
        <v>1</v>
      </c>
      <c r="H38" s="1" t="s">
        <v>4</v>
      </c>
      <c r="I38" s="1">
        <f>F38</f>
        <v>2</v>
      </c>
      <c r="J38" s="1" t="s">
        <v>93</v>
      </c>
    </row>
    <row r="39" spans="1:11" s="4" customFormat="1" ht="15" x14ac:dyDescent="0.25">
      <c r="A39" s="1">
        <v>2</v>
      </c>
      <c r="B39" t="s">
        <v>3</v>
      </c>
      <c r="C39" s="1">
        <v>1</v>
      </c>
      <c r="D39" s="2">
        <v>10</v>
      </c>
      <c r="E39" s="1"/>
      <c r="F39" s="3">
        <v>3</v>
      </c>
      <c r="G39" s="1">
        <f>I38+1</f>
        <v>3</v>
      </c>
      <c r="H39" s="1" t="s">
        <v>4</v>
      </c>
      <c r="I39" s="1">
        <f>I38+F39</f>
        <v>5</v>
      </c>
      <c r="J39" s="1" t="s">
        <v>42</v>
      </c>
    </row>
    <row r="40" spans="1:11" s="4" customFormat="1" ht="15" x14ac:dyDescent="0.25">
      <c r="A40" s="1">
        <v>3</v>
      </c>
      <c r="B40" t="s">
        <v>28</v>
      </c>
      <c r="C40" s="1">
        <v>1</v>
      </c>
      <c r="D40" s="2">
        <v>11</v>
      </c>
      <c r="E40" s="1"/>
      <c r="F40" s="3">
        <v>5</v>
      </c>
      <c r="G40" s="1">
        <f>I39+1</f>
        <v>6</v>
      </c>
      <c r="H40" s="1" t="s">
        <v>4</v>
      </c>
      <c r="I40" s="1">
        <f>I39+F40</f>
        <v>10</v>
      </c>
      <c r="J40" s="1"/>
    </row>
    <row r="41" spans="1:11" s="4" customFormat="1" ht="15" x14ac:dyDescent="0.25">
      <c r="A41" s="1">
        <v>4</v>
      </c>
      <c r="B41" t="s">
        <v>161</v>
      </c>
      <c r="C41" s="1">
        <v>1</v>
      </c>
      <c r="D41" s="2">
        <v>2</v>
      </c>
      <c r="E41" s="1"/>
      <c r="F41" s="3">
        <v>1</v>
      </c>
      <c r="G41" s="1">
        <f>I40+1</f>
        <v>11</v>
      </c>
      <c r="H41" s="1" t="s">
        <v>4</v>
      </c>
      <c r="I41" s="1">
        <f>I40+F41</f>
        <v>11</v>
      </c>
      <c r="J41" s="1"/>
    </row>
    <row r="42" spans="1:11" s="4" customFormat="1" ht="15" x14ac:dyDescent="0.25">
      <c r="A42" s="1">
        <v>5</v>
      </c>
      <c r="B42" t="s">
        <v>5</v>
      </c>
      <c r="C42" s="1">
        <v>1</v>
      </c>
      <c r="D42" s="2">
        <v>1</v>
      </c>
      <c r="E42" s="1"/>
      <c r="F42" s="3">
        <v>1</v>
      </c>
      <c r="G42" s="1">
        <f>I41+1</f>
        <v>12</v>
      </c>
      <c r="H42" s="1" t="s">
        <v>4</v>
      </c>
      <c r="I42" s="1">
        <f>I41+F42</f>
        <v>12</v>
      </c>
      <c r="J42" s="1"/>
    </row>
    <row r="43" spans="1:11" s="4" customFormat="1" ht="15" x14ac:dyDescent="0.25">
      <c r="A43" s="1">
        <v>6</v>
      </c>
      <c r="B43" t="s">
        <v>86</v>
      </c>
      <c r="C43" s="1">
        <v>1</v>
      </c>
      <c r="D43" s="2">
        <v>3</v>
      </c>
      <c r="E43" s="1"/>
      <c r="F43" s="3">
        <v>2</v>
      </c>
      <c r="G43" s="1">
        <f>I42+1</f>
        <v>13</v>
      </c>
      <c r="H43" s="1" t="s">
        <v>4</v>
      </c>
      <c r="I43" s="1">
        <f>I42+F43</f>
        <v>14</v>
      </c>
      <c r="J43" s="1"/>
    </row>
    <row r="44" spans="1:11" s="4" customFormat="1" ht="15" x14ac:dyDescent="0.25">
      <c r="A44" s="1">
        <v>7</v>
      </c>
      <c r="B44" t="s">
        <v>38</v>
      </c>
      <c r="C44" s="1"/>
      <c r="D44" s="2"/>
      <c r="E44" s="1"/>
      <c r="F44" s="3">
        <v>3</v>
      </c>
      <c r="G44" s="1">
        <f t="shared" ref="G44" si="4">I43+1</f>
        <v>15</v>
      </c>
      <c r="H44" s="1" t="s">
        <v>4</v>
      </c>
      <c r="I44" s="1">
        <f t="shared" ref="I44" si="5">I43+F44</f>
        <v>17</v>
      </c>
      <c r="J44" s="1" t="s">
        <v>91</v>
      </c>
    </row>
    <row r="45" spans="1:11" s="4" customFormat="1" ht="15" x14ac:dyDescent="0.25">
      <c r="A45" s="1">
        <v>8</v>
      </c>
      <c r="B45" t="s">
        <v>6</v>
      </c>
      <c r="C45" s="1"/>
      <c r="D45" s="2"/>
      <c r="E45" s="1"/>
      <c r="F45" s="3">
        <v>2</v>
      </c>
      <c r="G45" s="1">
        <f t="shared" ref="G45:G49" si="6">I44+1</f>
        <v>18</v>
      </c>
      <c r="H45" s="1" t="s">
        <v>4</v>
      </c>
      <c r="I45" s="1">
        <f t="shared" ref="I45:I49" si="7">I44+F45</f>
        <v>19</v>
      </c>
      <c r="J45" s="1" t="s">
        <v>91</v>
      </c>
    </row>
    <row r="46" spans="1:11" s="4" customFormat="1" ht="15" x14ac:dyDescent="0.25">
      <c r="A46" s="1">
        <v>9</v>
      </c>
      <c r="B46" t="s">
        <v>7</v>
      </c>
      <c r="C46" s="1"/>
      <c r="D46" s="2"/>
      <c r="E46" s="1"/>
      <c r="F46" s="3">
        <v>2</v>
      </c>
      <c r="G46" s="1">
        <f t="shared" si="6"/>
        <v>20</v>
      </c>
      <c r="H46" s="1" t="s">
        <v>4</v>
      </c>
      <c r="I46" s="1">
        <f t="shared" si="7"/>
        <v>21</v>
      </c>
      <c r="J46" s="1" t="s">
        <v>91</v>
      </c>
    </row>
    <row r="47" spans="1:11" s="4" customFormat="1" ht="15" x14ac:dyDescent="0.25">
      <c r="A47" s="1">
        <v>10</v>
      </c>
      <c r="B47" t="s">
        <v>37</v>
      </c>
      <c r="C47" s="1"/>
      <c r="D47" s="2"/>
      <c r="E47" s="1"/>
      <c r="F47" s="3">
        <v>2</v>
      </c>
      <c r="G47" s="1">
        <f t="shared" si="6"/>
        <v>22</v>
      </c>
      <c r="H47" s="1" t="s">
        <v>4</v>
      </c>
      <c r="I47" s="1">
        <f t="shared" si="7"/>
        <v>23</v>
      </c>
      <c r="J47" s="1" t="s">
        <v>91</v>
      </c>
    </row>
    <row r="48" spans="1:11" s="4" customFormat="1" ht="15" x14ac:dyDescent="0.25">
      <c r="A48" s="1">
        <v>11</v>
      </c>
      <c r="B48" t="s">
        <v>8</v>
      </c>
      <c r="C48" s="1"/>
      <c r="D48" s="2"/>
      <c r="E48" s="1"/>
      <c r="F48" s="3">
        <v>1</v>
      </c>
      <c r="G48" s="1">
        <f t="shared" si="6"/>
        <v>24</v>
      </c>
      <c r="H48" s="1" t="s">
        <v>4</v>
      </c>
      <c r="I48" s="1">
        <f t="shared" si="7"/>
        <v>24</v>
      </c>
      <c r="J48" s="1" t="s">
        <v>91</v>
      </c>
    </row>
    <row r="49" spans="1:13" s="4" customFormat="1" ht="15" x14ac:dyDescent="0.25">
      <c r="A49" s="1">
        <v>12</v>
      </c>
      <c r="B49" t="s">
        <v>9</v>
      </c>
      <c r="C49" s="1"/>
      <c r="D49" s="2"/>
      <c r="E49" s="1"/>
      <c r="F49" s="3">
        <v>4</v>
      </c>
      <c r="G49" s="1">
        <f t="shared" si="6"/>
        <v>25</v>
      </c>
      <c r="H49" s="1" t="s">
        <v>4</v>
      </c>
      <c r="I49" s="1">
        <f t="shared" si="7"/>
        <v>28</v>
      </c>
      <c r="J49" s="1" t="s">
        <v>91</v>
      </c>
    </row>
    <row r="50" spans="1:13" s="4" customFormat="1" ht="15" x14ac:dyDescent="0.25">
      <c r="A50" s="1">
        <v>13</v>
      </c>
      <c r="B50" t="s">
        <v>87</v>
      </c>
      <c r="C50" s="1">
        <v>1</v>
      </c>
      <c r="D50" s="2">
        <v>8</v>
      </c>
      <c r="E50" s="1"/>
      <c r="F50" s="3">
        <v>2</v>
      </c>
      <c r="G50" s="1">
        <f t="shared" ref="G50:G67" si="8">I49+1</f>
        <v>29</v>
      </c>
      <c r="H50" s="1" t="s">
        <v>4</v>
      </c>
      <c r="I50" s="1">
        <f t="shared" ref="I50:I67" si="9">I49+F50</f>
        <v>30</v>
      </c>
      <c r="J50" s="1"/>
    </row>
    <row r="51" spans="1:13" s="4" customFormat="1" ht="15" x14ac:dyDescent="0.25">
      <c r="A51" s="1">
        <v>14</v>
      </c>
      <c r="B51" t="s">
        <v>88</v>
      </c>
      <c r="C51" s="1">
        <v>1</v>
      </c>
      <c r="D51" s="2">
        <v>12</v>
      </c>
      <c r="E51" s="1"/>
      <c r="F51" s="3">
        <v>1</v>
      </c>
      <c r="G51" s="1">
        <f t="shared" si="8"/>
        <v>31</v>
      </c>
      <c r="H51" s="1" t="s">
        <v>4</v>
      </c>
      <c r="I51" s="1">
        <f t="shared" si="9"/>
        <v>31</v>
      </c>
      <c r="J51" s="1"/>
    </row>
    <row r="52" spans="1:13" s="4" customFormat="1" ht="15" x14ac:dyDescent="0.25">
      <c r="A52" s="1">
        <v>15</v>
      </c>
      <c r="B52" t="s">
        <v>21</v>
      </c>
      <c r="C52" s="1">
        <v>1</v>
      </c>
      <c r="D52" s="2">
        <v>13</v>
      </c>
      <c r="E52" s="1"/>
      <c r="F52" s="3">
        <v>1</v>
      </c>
      <c r="G52" s="1">
        <f t="shared" si="8"/>
        <v>32</v>
      </c>
      <c r="H52" s="1" t="s">
        <v>4</v>
      </c>
      <c r="I52" s="1">
        <f t="shared" si="9"/>
        <v>32</v>
      </c>
      <c r="J52" s="1"/>
    </row>
    <row r="53" spans="1:13" s="4" customFormat="1" ht="15" x14ac:dyDescent="0.25">
      <c r="A53" s="1">
        <v>16</v>
      </c>
      <c r="B53" t="s">
        <v>22</v>
      </c>
      <c r="C53" s="1">
        <v>1</v>
      </c>
      <c r="D53" s="2">
        <v>14</v>
      </c>
      <c r="E53" s="1"/>
      <c r="F53" s="3">
        <v>2</v>
      </c>
      <c r="G53" s="1">
        <f t="shared" si="8"/>
        <v>33</v>
      </c>
      <c r="H53" s="1" t="s">
        <v>4</v>
      </c>
      <c r="I53" s="1">
        <f t="shared" si="9"/>
        <v>34</v>
      </c>
      <c r="J53" s="12"/>
    </row>
    <row r="54" spans="1:13" s="4" customFormat="1" ht="15" x14ac:dyDescent="0.25">
      <c r="A54" s="1">
        <v>17</v>
      </c>
      <c r="B54" t="s">
        <v>89</v>
      </c>
      <c r="C54" s="1">
        <v>4</v>
      </c>
      <c r="D54" s="20"/>
      <c r="E54" s="21"/>
      <c r="F54" s="3">
        <v>2</v>
      </c>
      <c r="G54" s="1">
        <f t="shared" si="8"/>
        <v>35</v>
      </c>
      <c r="H54" s="1" t="s">
        <v>4</v>
      </c>
      <c r="I54" s="1">
        <f t="shared" si="9"/>
        <v>36</v>
      </c>
      <c r="J54" s="1" t="s">
        <v>16</v>
      </c>
      <c r="K54"/>
    </row>
    <row r="55" spans="1:13" s="4" customFormat="1" ht="15" x14ac:dyDescent="0.25">
      <c r="A55" s="1">
        <v>18</v>
      </c>
      <c r="B55" t="s">
        <v>25</v>
      </c>
      <c r="C55" s="1">
        <v>4</v>
      </c>
      <c r="D55" s="2">
        <v>1</v>
      </c>
      <c r="E55" s="1"/>
      <c r="F55" s="3">
        <v>2</v>
      </c>
      <c r="G55" s="1">
        <f t="shared" si="8"/>
        <v>37</v>
      </c>
      <c r="H55" s="1" t="s">
        <v>4</v>
      </c>
      <c r="I55" s="1">
        <f t="shared" si="9"/>
        <v>38</v>
      </c>
      <c r="J55" s="1"/>
      <c r="K55"/>
    </row>
    <row r="56" spans="1:13" s="4" customFormat="1" ht="15" x14ac:dyDescent="0.25">
      <c r="A56" s="1">
        <v>19</v>
      </c>
      <c r="B56" t="s">
        <v>26</v>
      </c>
      <c r="C56" s="1">
        <v>4</v>
      </c>
      <c r="D56" s="2">
        <v>2</v>
      </c>
      <c r="E56" s="1"/>
      <c r="F56" s="3">
        <v>1</v>
      </c>
      <c r="G56" s="1">
        <f t="shared" si="8"/>
        <v>39</v>
      </c>
      <c r="H56" s="1" t="s">
        <v>4</v>
      </c>
      <c r="I56" s="1">
        <f t="shared" si="9"/>
        <v>39</v>
      </c>
      <c r="J56" s="1"/>
      <c r="K56"/>
    </row>
    <row r="57" spans="1:13" s="4" customFormat="1" ht="15" x14ac:dyDescent="0.25">
      <c r="A57" s="1">
        <v>20</v>
      </c>
      <c r="B57" t="s">
        <v>13</v>
      </c>
      <c r="C57" s="1">
        <v>4</v>
      </c>
      <c r="D57" s="2">
        <v>3</v>
      </c>
      <c r="E57" s="1"/>
      <c r="F57" s="3">
        <v>1</v>
      </c>
      <c r="G57" s="1">
        <f t="shared" si="8"/>
        <v>40</v>
      </c>
      <c r="H57" s="1" t="s">
        <v>4</v>
      </c>
      <c r="I57" s="1">
        <f t="shared" si="9"/>
        <v>40</v>
      </c>
      <c r="J57" s="1"/>
      <c r="K57"/>
    </row>
    <row r="58" spans="1:13" s="5" customFormat="1" ht="15" x14ac:dyDescent="0.25">
      <c r="A58" s="1">
        <v>21</v>
      </c>
      <c r="B58" t="s">
        <v>29</v>
      </c>
      <c r="C58" s="1">
        <v>4</v>
      </c>
      <c r="D58" s="2">
        <v>4</v>
      </c>
      <c r="E58" s="1"/>
      <c r="F58" s="3">
        <v>1</v>
      </c>
      <c r="G58" s="1">
        <f t="shared" si="8"/>
        <v>41</v>
      </c>
      <c r="H58" s="1" t="s">
        <v>4</v>
      </c>
      <c r="I58" s="1">
        <f t="shared" si="9"/>
        <v>41</v>
      </c>
      <c r="J58" s="22"/>
      <c r="K58"/>
      <c r="L58" s="4"/>
      <c r="M58" s="4"/>
    </row>
    <row r="59" spans="1:13" s="5" customFormat="1" ht="63.75" x14ac:dyDescent="0.25">
      <c r="A59" s="1">
        <v>22</v>
      </c>
      <c r="B59" s="23" t="s">
        <v>144</v>
      </c>
      <c r="C59" s="2">
        <v>4</v>
      </c>
      <c r="D59" s="2">
        <v>5</v>
      </c>
      <c r="E59" s="1"/>
      <c r="F59" s="3">
        <v>1</v>
      </c>
      <c r="G59" s="1">
        <f t="shared" si="8"/>
        <v>42</v>
      </c>
      <c r="H59" s="1" t="s">
        <v>4</v>
      </c>
      <c r="I59" s="1">
        <f t="shared" si="9"/>
        <v>42</v>
      </c>
      <c r="J59" s="22"/>
      <c r="K59"/>
      <c r="L59" s="4"/>
      <c r="M59" s="4"/>
    </row>
    <row r="60" spans="1:13" s="4" customFormat="1" ht="15" x14ac:dyDescent="0.25">
      <c r="A60" s="1">
        <v>23</v>
      </c>
      <c r="B60" t="s">
        <v>162</v>
      </c>
      <c r="C60" s="1">
        <v>4</v>
      </c>
      <c r="D60" s="2">
        <v>6.1</v>
      </c>
      <c r="E60" s="1"/>
      <c r="F60" s="3">
        <v>2</v>
      </c>
      <c r="G60" s="1">
        <f t="shared" si="8"/>
        <v>43</v>
      </c>
      <c r="H60" s="1" t="s">
        <v>4</v>
      </c>
      <c r="I60" s="1">
        <f t="shared" si="9"/>
        <v>44</v>
      </c>
      <c r="J60" s="1"/>
      <c r="K60"/>
    </row>
    <row r="61" spans="1:13" s="5" customFormat="1" ht="15" x14ac:dyDescent="0.25">
      <c r="A61" s="1">
        <v>24</v>
      </c>
      <c r="B61" t="s">
        <v>163</v>
      </c>
      <c r="C61" s="1">
        <v>4</v>
      </c>
      <c r="D61" s="2">
        <v>6.2</v>
      </c>
      <c r="E61" s="1"/>
      <c r="F61" s="3">
        <v>2</v>
      </c>
      <c r="G61" s="1">
        <f t="shared" si="8"/>
        <v>45</v>
      </c>
      <c r="H61" s="1" t="s">
        <v>4</v>
      </c>
      <c r="I61" s="1">
        <f t="shared" si="9"/>
        <v>46</v>
      </c>
      <c r="J61" s="22"/>
      <c r="K61"/>
      <c r="L61" s="4"/>
      <c r="M61" s="4"/>
    </row>
    <row r="62" spans="1:13" s="4" customFormat="1" ht="15" x14ac:dyDescent="0.25">
      <c r="A62" s="1">
        <v>25</v>
      </c>
      <c r="B62" t="s">
        <v>164</v>
      </c>
      <c r="C62" s="1">
        <v>4</v>
      </c>
      <c r="D62" s="24">
        <v>6.3</v>
      </c>
      <c r="E62" s="22"/>
      <c r="F62" s="3">
        <v>2</v>
      </c>
      <c r="G62" s="1">
        <f t="shared" si="8"/>
        <v>47</v>
      </c>
      <c r="H62" s="1" t="s">
        <v>4</v>
      </c>
      <c r="I62" s="1">
        <f t="shared" si="9"/>
        <v>48</v>
      </c>
      <c r="J62" s="1"/>
      <c r="K62"/>
    </row>
    <row r="63" spans="1:13" s="4" customFormat="1" ht="15" x14ac:dyDescent="0.25">
      <c r="A63" s="1">
        <v>26</v>
      </c>
      <c r="B63" t="s">
        <v>165</v>
      </c>
      <c r="C63" s="1">
        <v>4</v>
      </c>
      <c r="D63" s="2">
        <v>6.4</v>
      </c>
      <c r="E63" s="1"/>
      <c r="F63" s="3">
        <v>2</v>
      </c>
      <c r="G63" s="1">
        <f t="shared" si="8"/>
        <v>49</v>
      </c>
      <c r="H63" s="1" t="s">
        <v>4</v>
      </c>
      <c r="I63" s="1">
        <f t="shared" si="9"/>
        <v>50</v>
      </c>
      <c r="J63" s="1"/>
      <c r="K63"/>
    </row>
    <row r="64" spans="1:13" s="4" customFormat="1" ht="15" x14ac:dyDescent="0.25">
      <c r="A64" s="1">
        <v>27</v>
      </c>
      <c r="B64" t="s">
        <v>94</v>
      </c>
      <c r="C64" s="1">
        <v>4</v>
      </c>
      <c r="D64" s="2">
        <v>7</v>
      </c>
      <c r="E64" s="1"/>
      <c r="F64" s="3">
        <v>1</v>
      </c>
      <c r="G64" s="1">
        <f t="shared" si="8"/>
        <v>51</v>
      </c>
      <c r="H64" s="1" t="s">
        <v>4</v>
      </c>
      <c r="I64" s="1">
        <f t="shared" si="9"/>
        <v>51</v>
      </c>
      <c r="J64" s="1"/>
      <c r="K64"/>
    </row>
    <row r="65" spans="1:11" s="4" customFormat="1" ht="15" x14ac:dyDescent="0.25">
      <c r="A65" s="1">
        <v>28</v>
      </c>
      <c r="B65" t="s">
        <v>95</v>
      </c>
      <c r="C65" s="1">
        <v>4</v>
      </c>
      <c r="D65" s="2">
        <v>8</v>
      </c>
      <c r="E65" s="1"/>
      <c r="F65" s="3">
        <v>1</v>
      </c>
      <c r="G65" s="1">
        <f t="shared" si="8"/>
        <v>52</v>
      </c>
      <c r="H65" s="1" t="s">
        <v>4</v>
      </c>
      <c r="I65" s="1">
        <f t="shared" si="9"/>
        <v>52</v>
      </c>
      <c r="J65" s="1"/>
      <c r="K65"/>
    </row>
    <row r="66" spans="1:11" s="4" customFormat="1" ht="15" x14ac:dyDescent="0.25">
      <c r="A66" s="1">
        <v>29</v>
      </c>
      <c r="B66" t="s">
        <v>160</v>
      </c>
      <c r="C66" s="1">
        <v>4</v>
      </c>
      <c r="D66" s="2">
        <v>9</v>
      </c>
      <c r="E66" s="1"/>
      <c r="F66" s="3">
        <v>8</v>
      </c>
      <c r="G66" s="1">
        <f t="shared" si="8"/>
        <v>53</v>
      </c>
      <c r="H66" s="1" t="s">
        <v>4</v>
      </c>
      <c r="I66" s="1">
        <f t="shared" si="9"/>
        <v>60</v>
      </c>
      <c r="J66" s="12"/>
      <c r="K66"/>
    </row>
    <row r="67" spans="1:11" s="4" customFormat="1" ht="15" x14ac:dyDescent="0.25">
      <c r="A67" s="1">
        <v>30</v>
      </c>
      <c r="B67" s="4" t="s">
        <v>96</v>
      </c>
      <c r="C67" s="1"/>
      <c r="D67" s="2"/>
      <c r="E67" s="1"/>
      <c r="F67" s="3">
        <v>10</v>
      </c>
      <c r="G67" s="1">
        <f t="shared" si="8"/>
        <v>61</v>
      </c>
      <c r="H67" s="1" t="s">
        <v>4</v>
      </c>
      <c r="I67" s="1">
        <f t="shared" si="9"/>
        <v>70</v>
      </c>
      <c r="J67" s="12"/>
      <c r="K67"/>
    </row>
    <row r="68" spans="1:11" s="4" customFormat="1" ht="15" x14ac:dyDescent="0.25">
      <c r="A68" s="21"/>
      <c r="C68" s="1"/>
      <c r="D68" s="2"/>
      <c r="E68" s="1"/>
      <c r="F68" s="3"/>
      <c r="G68" s="1"/>
      <c r="H68" s="1"/>
      <c r="I68" s="1"/>
      <c r="J68" s="12"/>
      <c r="K68"/>
    </row>
    <row r="69" spans="1:11" s="4" customFormat="1" ht="15" x14ac:dyDescent="0.25">
      <c r="A69" s="21"/>
      <c r="B69" s="7" t="s">
        <v>140</v>
      </c>
      <c r="C69" s="1"/>
      <c r="D69" s="2"/>
      <c r="E69" s="1"/>
      <c r="F69" s="3"/>
      <c r="G69" s="1"/>
      <c r="H69" s="1"/>
      <c r="I69" s="1"/>
      <c r="J69" s="12"/>
      <c r="K69"/>
    </row>
    <row r="70" spans="1:11" s="4" customFormat="1" ht="15" x14ac:dyDescent="0.25">
      <c r="A70" s="1"/>
      <c r="C70" s="1"/>
      <c r="D70" s="2"/>
      <c r="E70" s="1"/>
      <c r="F70" s="1"/>
      <c r="G70" s="12"/>
      <c r="H70" s="12"/>
      <c r="I70" s="1"/>
      <c r="J70" s="1"/>
      <c r="K70"/>
    </row>
    <row r="71" spans="1:11" s="4" customFormat="1" ht="15" x14ac:dyDescent="0.25">
      <c r="A71" s="39" t="s">
        <v>30</v>
      </c>
      <c r="B71" s="41" t="s">
        <v>31</v>
      </c>
      <c r="C71" s="35" t="s">
        <v>32</v>
      </c>
      <c r="D71" s="35"/>
      <c r="E71" s="35"/>
      <c r="F71" s="35" t="s">
        <v>36</v>
      </c>
      <c r="G71" s="35" t="s">
        <v>33</v>
      </c>
      <c r="H71" s="35"/>
      <c r="I71" s="36"/>
      <c r="J71" s="37" t="s">
        <v>1</v>
      </c>
      <c r="K71"/>
    </row>
    <row r="72" spans="1:11" s="4" customFormat="1" ht="15" x14ac:dyDescent="0.25">
      <c r="A72" s="40"/>
      <c r="B72" s="41"/>
      <c r="C72" s="14" t="s">
        <v>34</v>
      </c>
      <c r="D72" s="15" t="s">
        <v>0</v>
      </c>
      <c r="E72" s="13" t="s">
        <v>35</v>
      </c>
      <c r="F72" s="35"/>
      <c r="G72" s="35"/>
      <c r="H72" s="35"/>
      <c r="I72" s="36"/>
      <c r="J72" s="38"/>
    </row>
    <row r="73" spans="1:11" s="4" customFormat="1" ht="15" x14ac:dyDescent="0.25">
      <c r="A73" s="1">
        <v>1</v>
      </c>
      <c r="B73" t="s">
        <v>2</v>
      </c>
      <c r="C73" s="1">
        <v>1</v>
      </c>
      <c r="D73" s="2">
        <v>9</v>
      </c>
      <c r="E73" s="1"/>
      <c r="F73" s="3">
        <v>2</v>
      </c>
      <c r="G73" s="1">
        <v>1</v>
      </c>
      <c r="H73" s="1" t="s">
        <v>4</v>
      </c>
      <c r="I73" s="1">
        <f>F73</f>
        <v>2</v>
      </c>
      <c r="J73" s="1" t="s">
        <v>93</v>
      </c>
    </row>
    <row r="74" spans="1:11" s="4" customFormat="1" ht="15" x14ac:dyDescent="0.25">
      <c r="A74" s="1">
        <v>2</v>
      </c>
      <c r="B74" t="s">
        <v>3</v>
      </c>
      <c r="C74" s="1">
        <v>1</v>
      </c>
      <c r="D74" s="2">
        <v>10</v>
      </c>
      <c r="E74" s="1"/>
      <c r="F74" s="3">
        <v>3</v>
      </c>
      <c r="G74" s="1">
        <f>I73+1</f>
        <v>3</v>
      </c>
      <c r="H74" s="1" t="s">
        <v>4</v>
      </c>
      <c r="I74" s="1">
        <f>I73+F74</f>
        <v>5</v>
      </c>
      <c r="J74" s="1" t="s">
        <v>42</v>
      </c>
    </row>
    <row r="75" spans="1:11" s="4" customFormat="1" ht="15" x14ac:dyDescent="0.25">
      <c r="A75" s="1">
        <v>3</v>
      </c>
      <c r="B75" t="s">
        <v>28</v>
      </c>
      <c r="C75" s="1">
        <v>1</v>
      </c>
      <c r="D75" s="2">
        <v>11</v>
      </c>
      <c r="E75" s="1"/>
      <c r="F75" s="3">
        <v>5</v>
      </c>
      <c r="G75" s="1">
        <f>I74+1</f>
        <v>6</v>
      </c>
      <c r="H75" s="1" t="s">
        <v>4</v>
      </c>
      <c r="I75" s="1">
        <f>I74+F75</f>
        <v>10</v>
      </c>
      <c r="J75" s="1"/>
    </row>
    <row r="76" spans="1:11" s="4" customFormat="1" ht="15" x14ac:dyDescent="0.25">
      <c r="A76" s="1">
        <v>4</v>
      </c>
      <c r="B76" t="s">
        <v>161</v>
      </c>
      <c r="C76" s="1">
        <v>1</v>
      </c>
      <c r="D76" s="2">
        <v>2</v>
      </c>
      <c r="E76" s="1"/>
      <c r="F76" s="3">
        <v>1</v>
      </c>
      <c r="G76" s="1">
        <f>I75+1</f>
        <v>11</v>
      </c>
      <c r="H76" s="1" t="s">
        <v>4</v>
      </c>
      <c r="I76" s="1">
        <f>I75+F76</f>
        <v>11</v>
      </c>
      <c r="J76" s="1"/>
    </row>
    <row r="77" spans="1:11" s="4" customFormat="1" ht="15" x14ac:dyDescent="0.25">
      <c r="A77" s="1">
        <v>5</v>
      </c>
      <c r="B77" t="s">
        <v>5</v>
      </c>
      <c r="C77" s="1">
        <v>1</v>
      </c>
      <c r="D77" s="2">
        <v>1</v>
      </c>
      <c r="E77" s="1"/>
      <c r="F77" s="3">
        <v>1</v>
      </c>
      <c r="G77" s="1">
        <f>I76+1</f>
        <v>12</v>
      </c>
      <c r="H77" s="1" t="s">
        <v>4</v>
      </c>
      <c r="I77" s="1">
        <f>I76+F77</f>
        <v>12</v>
      </c>
      <c r="J77" s="1"/>
    </row>
    <row r="78" spans="1:11" s="4" customFormat="1" ht="15" x14ac:dyDescent="0.25">
      <c r="A78" s="1">
        <v>6</v>
      </c>
      <c r="B78" t="s">
        <v>86</v>
      </c>
      <c r="C78" s="1">
        <v>1</v>
      </c>
      <c r="D78" s="2">
        <v>3</v>
      </c>
      <c r="E78" s="1"/>
      <c r="F78" s="3">
        <v>2</v>
      </c>
      <c r="G78" s="1">
        <f>I77+1</f>
        <v>13</v>
      </c>
      <c r="H78" s="1" t="s">
        <v>4</v>
      </c>
      <c r="I78" s="1">
        <f>I77+F78</f>
        <v>14</v>
      </c>
      <c r="J78" s="1"/>
    </row>
    <row r="79" spans="1:11" s="4" customFormat="1" ht="15" x14ac:dyDescent="0.25">
      <c r="A79" s="1">
        <v>7</v>
      </c>
      <c r="B79" t="s">
        <v>38</v>
      </c>
      <c r="C79" s="1"/>
      <c r="D79" s="2"/>
      <c r="E79" s="1"/>
      <c r="F79" s="3">
        <v>3</v>
      </c>
      <c r="G79" s="1">
        <f t="shared" ref="G79:G86" si="10">I78+1</f>
        <v>15</v>
      </c>
      <c r="H79" s="1" t="s">
        <v>4</v>
      </c>
      <c r="I79" s="1">
        <f t="shared" ref="I79:I86" si="11">I78+F79</f>
        <v>17</v>
      </c>
      <c r="J79" s="1" t="s">
        <v>91</v>
      </c>
    </row>
    <row r="80" spans="1:11" s="4" customFormat="1" ht="15" x14ac:dyDescent="0.25">
      <c r="A80" s="1">
        <v>8</v>
      </c>
      <c r="B80" t="s">
        <v>6</v>
      </c>
      <c r="C80" s="1"/>
      <c r="D80" s="2"/>
      <c r="E80" s="1"/>
      <c r="F80" s="3">
        <v>2</v>
      </c>
      <c r="G80" s="1">
        <f t="shared" si="10"/>
        <v>18</v>
      </c>
      <c r="H80" s="1" t="s">
        <v>4</v>
      </c>
      <c r="I80" s="1">
        <f t="shared" si="11"/>
        <v>19</v>
      </c>
      <c r="J80" s="1" t="s">
        <v>91</v>
      </c>
    </row>
    <row r="81" spans="1:13" s="4" customFormat="1" ht="15" x14ac:dyDescent="0.25">
      <c r="A81" s="1">
        <v>9</v>
      </c>
      <c r="B81" t="s">
        <v>7</v>
      </c>
      <c r="C81" s="1"/>
      <c r="D81" s="2"/>
      <c r="E81" s="1"/>
      <c r="F81" s="3">
        <v>2</v>
      </c>
      <c r="G81" s="1">
        <f t="shared" si="10"/>
        <v>20</v>
      </c>
      <c r="H81" s="1" t="s">
        <v>4</v>
      </c>
      <c r="I81" s="1">
        <f t="shared" si="11"/>
        <v>21</v>
      </c>
      <c r="J81" s="1" t="s">
        <v>91</v>
      </c>
    </row>
    <row r="82" spans="1:13" s="4" customFormat="1" ht="15" x14ac:dyDescent="0.25">
      <c r="A82" s="1">
        <v>10</v>
      </c>
      <c r="B82" t="s">
        <v>37</v>
      </c>
      <c r="C82" s="1"/>
      <c r="D82" s="2"/>
      <c r="E82" s="1"/>
      <c r="F82" s="3">
        <v>2</v>
      </c>
      <c r="G82" s="1">
        <f t="shared" si="10"/>
        <v>22</v>
      </c>
      <c r="H82" s="1" t="s">
        <v>4</v>
      </c>
      <c r="I82" s="1">
        <f t="shared" si="11"/>
        <v>23</v>
      </c>
      <c r="J82" s="1" t="s">
        <v>91</v>
      </c>
    </row>
    <row r="83" spans="1:13" s="4" customFormat="1" ht="15" x14ac:dyDescent="0.25">
      <c r="A83" s="1">
        <v>11</v>
      </c>
      <c r="B83" t="s">
        <v>8</v>
      </c>
      <c r="C83" s="1"/>
      <c r="D83" s="2"/>
      <c r="E83" s="1"/>
      <c r="F83" s="3">
        <v>1</v>
      </c>
      <c r="G83" s="1">
        <f t="shared" si="10"/>
        <v>24</v>
      </c>
      <c r="H83" s="1" t="s">
        <v>4</v>
      </c>
      <c r="I83" s="1">
        <f t="shared" si="11"/>
        <v>24</v>
      </c>
      <c r="J83" s="1" t="s">
        <v>91</v>
      </c>
    </row>
    <row r="84" spans="1:13" s="4" customFormat="1" ht="15" x14ac:dyDescent="0.25">
      <c r="A84" s="1">
        <v>12</v>
      </c>
      <c r="B84" t="s">
        <v>9</v>
      </c>
      <c r="C84" s="1"/>
      <c r="D84" s="2"/>
      <c r="E84" s="1"/>
      <c r="F84" s="3">
        <v>4</v>
      </c>
      <c r="G84" s="1">
        <f t="shared" si="10"/>
        <v>25</v>
      </c>
      <c r="H84" s="1" t="s">
        <v>4</v>
      </c>
      <c r="I84" s="1">
        <f t="shared" si="11"/>
        <v>28</v>
      </c>
      <c r="J84" s="1" t="s">
        <v>91</v>
      </c>
    </row>
    <row r="85" spans="1:13" s="4" customFormat="1" ht="15" x14ac:dyDescent="0.25">
      <c r="A85" s="1">
        <v>13</v>
      </c>
      <c r="B85" t="s">
        <v>87</v>
      </c>
      <c r="C85" s="1">
        <v>1</v>
      </c>
      <c r="D85" s="2">
        <v>8</v>
      </c>
      <c r="E85" s="1"/>
      <c r="F85" s="3">
        <v>2</v>
      </c>
      <c r="G85" s="1">
        <f t="shared" si="10"/>
        <v>29</v>
      </c>
      <c r="H85" s="1" t="s">
        <v>4</v>
      </c>
      <c r="I85" s="1">
        <f t="shared" si="11"/>
        <v>30</v>
      </c>
      <c r="J85" s="1"/>
    </row>
    <row r="86" spans="1:13" s="4" customFormat="1" ht="15" x14ac:dyDescent="0.25">
      <c r="A86" s="1">
        <v>14</v>
      </c>
      <c r="B86" t="s">
        <v>88</v>
      </c>
      <c r="C86" s="1">
        <v>1</v>
      </c>
      <c r="D86" s="2">
        <v>12</v>
      </c>
      <c r="E86" s="1"/>
      <c r="F86" s="3">
        <v>1</v>
      </c>
      <c r="G86" s="1">
        <f t="shared" si="10"/>
        <v>31</v>
      </c>
      <c r="H86" s="1" t="s">
        <v>4</v>
      </c>
      <c r="I86" s="1">
        <f t="shared" si="11"/>
        <v>31</v>
      </c>
      <c r="J86" s="1"/>
    </row>
    <row r="87" spans="1:13" s="4" customFormat="1" ht="15" x14ac:dyDescent="0.25">
      <c r="A87" s="1">
        <v>15</v>
      </c>
      <c r="B87" t="s">
        <v>21</v>
      </c>
      <c r="C87" s="1">
        <v>1</v>
      </c>
      <c r="D87" s="2">
        <v>13</v>
      </c>
      <c r="E87" s="1"/>
      <c r="F87" s="3">
        <v>1</v>
      </c>
      <c r="G87" s="1">
        <f t="shared" ref="G87:G95" si="12">I86+1</f>
        <v>32</v>
      </c>
      <c r="H87" s="1" t="s">
        <v>4</v>
      </c>
      <c r="I87" s="1">
        <f t="shared" ref="I87:I95" si="13">I86+F87</f>
        <v>32</v>
      </c>
      <c r="J87" s="1"/>
    </row>
    <row r="88" spans="1:13" s="4" customFormat="1" ht="15" x14ac:dyDescent="0.25">
      <c r="A88" s="1">
        <v>16</v>
      </c>
      <c r="B88" t="s">
        <v>22</v>
      </c>
      <c r="C88" s="1">
        <v>1</v>
      </c>
      <c r="D88" s="2">
        <v>14</v>
      </c>
      <c r="E88" s="1"/>
      <c r="F88" s="3">
        <v>2</v>
      </c>
      <c r="G88" s="1">
        <f t="shared" si="12"/>
        <v>33</v>
      </c>
      <c r="H88" s="1" t="s">
        <v>4</v>
      </c>
      <c r="I88" s="1">
        <f t="shared" si="13"/>
        <v>34</v>
      </c>
      <c r="J88" s="12"/>
    </row>
    <row r="89" spans="1:13" s="4" customFormat="1" ht="15" x14ac:dyDescent="0.25">
      <c r="A89" s="1">
        <v>17</v>
      </c>
      <c r="B89" t="s">
        <v>89</v>
      </c>
      <c r="C89" s="17"/>
      <c r="D89" s="2"/>
      <c r="E89" s="1"/>
      <c r="F89" s="3">
        <v>2</v>
      </c>
      <c r="G89" s="1">
        <f t="shared" si="12"/>
        <v>35</v>
      </c>
      <c r="H89" s="1" t="s">
        <v>4</v>
      </c>
      <c r="I89" s="1">
        <f t="shared" si="13"/>
        <v>36</v>
      </c>
      <c r="J89" s="1" t="s">
        <v>15</v>
      </c>
      <c r="K89"/>
    </row>
    <row r="90" spans="1:13" s="4" customFormat="1" ht="15" x14ac:dyDescent="0.25">
      <c r="A90" s="1">
        <v>18</v>
      </c>
      <c r="B90" t="s">
        <v>97</v>
      </c>
      <c r="C90" s="17">
        <v>3</v>
      </c>
      <c r="D90" s="24"/>
      <c r="E90" s="22">
        <v>1</v>
      </c>
      <c r="F90" s="3">
        <v>2</v>
      </c>
      <c r="G90" s="1">
        <f t="shared" si="12"/>
        <v>37</v>
      </c>
      <c r="H90" s="1" t="s">
        <v>4</v>
      </c>
      <c r="I90" s="1">
        <f t="shared" si="13"/>
        <v>38</v>
      </c>
      <c r="J90" s="1"/>
      <c r="K90"/>
    </row>
    <row r="91" spans="1:13" s="4" customFormat="1" ht="15" x14ac:dyDescent="0.25">
      <c r="A91" s="1">
        <v>19</v>
      </c>
      <c r="B91" t="s">
        <v>23</v>
      </c>
      <c r="C91" s="17">
        <v>3</v>
      </c>
      <c r="D91" s="2"/>
      <c r="E91" s="1">
        <v>3</v>
      </c>
      <c r="F91" s="3">
        <v>1</v>
      </c>
      <c r="G91" s="1">
        <f t="shared" si="12"/>
        <v>39</v>
      </c>
      <c r="H91" s="1" t="s">
        <v>4</v>
      </c>
      <c r="I91" s="1">
        <f t="shared" si="13"/>
        <v>39</v>
      </c>
      <c r="J91" s="1"/>
      <c r="K91"/>
    </row>
    <row r="92" spans="1:13" s="4" customFormat="1" ht="15" x14ac:dyDescent="0.25">
      <c r="A92" s="1">
        <v>20</v>
      </c>
      <c r="B92" t="s">
        <v>45</v>
      </c>
      <c r="C92" s="17">
        <v>3</v>
      </c>
      <c r="D92" s="2"/>
      <c r="E92" s="1">
        <v>4</v>
      </c>
      <c r="F92" s="3">
        <v>1</v>
      </c>
      <c r="G92" s="1">
        <f t="shared" si="12"/>
        <v>40</v>
      </c>
      <c r="H92" s="1" t="s">
        <v>4</v>
      </c>
      <c r="I92" s="1">
        <f t="shared" si="13"/>
        <v>40</v>
      </c>
      <c r="J92" s="1"/>
      <c r="K92"/>
    </row>
    <row r="93" spans="1:13" s="5" customFormat="1" ht="15" x14ac:dyDescent="0.25">
      <c r="A93" s="1">
        <v>21</v>
      </c>
      <c r="B93" t="s">
        <v>14</v>
      </c>
      <c r="C93" s="17">
        <v>3</v>
      </c>
      <c r="D93" s="2"/>
      <c r="E93" s="1">
        <v>5</v>
      </c>
      <c r="F93" s="3">
        <v>3</v>
      </c>
      <c r="G93" s="1">
        <f t="shared" si="12"/>
        <v>41</v>
      </c>
      <c r="H93" s="1" t="s">
        <v>4</v>
      </c>
      <c r="I93" s="1">
        <f t="shared" si="13"/>
        <v>43</v>
      </c>
      <c r="J93" s="22"/>
      <c r="K93"/>
      <c r="L93" s="4"/>
      <c r="M93" s="4"/>
    </row>
    <row r="94" spans="1:13" s="4" customFormat="1" ht="15" x14ac:dyDescent="0.25">
      <c r="A94" s="1">
        <v>22</v>
      </c>
      <c r="B94" t="s">
        <v>39</v>
      </c>
      <c r="C94" s="17">
        <v>3</v>
      </c>
      <c r="D94" s="2"/>
      <c r="E94" s="1">
        <v>6</v>
      </c>
      <c r="F94" s="3">
        <v>1</v>
      </c>
      <c r="G94" s="1">
        <f t="shared" si="12"/>
        <v>44</v>
      </c>
      <c r="H94" s="1" t="s">
        <v>4</v>
      </c>
      <c r="I94" s="1">
        <f t="shared" si="13"/>
        <v>44</v>
      </c>
      <c r="J94" s="1"/>
      <c r="K94"/>
    </row>
    <row r="95" spans="1:13" s="4" customFormat="1" ht="15" x14ac:dyDescent="0.25">
      <c r="A95" s="1">
        <v>23</v>
      </c>
      <c r="B95" s="4" t="s">
        <v>96</v>
      </c>
      <c r="C95" s="17"/>
      <c r="D95" s="2"/>
      <c r="E95" s="3"/>
      <c r="F95" s="3">
        <v>10</v>
      </c>
      <c r="G95" s="1">
        <f t="shared" si="12"/>
        <v>45</v>
      </c>
      <c r="H95" s="1" t="s">
        <v>4</v>
      </c>
      <c r="I95" s="1">
        <f t="shared" si="13"/>
        <v>54</v>
      </c>
      <c r="J95" s="1"/>
      <c r="K95"/>
    </row>
    <row r="96" spans="1:13" s="4" customFormat="1" ht="15" x14ac:dyDescent="0.25">
      <c r="B96" s="21"/>
      <c r="C96" s="17"/>
      <c r="D96" s="20"/>
      <c r="E96" s="21"/>
      <c r="F96" s="12"/>
      <c r="G96" s="1"/>
      <c r="H96" s="1"/>
      <c r="I96" s="1"/>
      <c r="J96" s="1"/>
      <c r="K96"/>
    </row>
    <row r="97" spans="1:13" s="4" customFormat="1" ht="15" x14ac:dyDescent="0.25">
      <c r="A97" s="1"/>
      <c r="C97" s="1"/>
      <c r="D97" s="2"/>
      <c r="E97" s="1"/>
      <c r="F97" s="1"/>
      <c r="G97" s="1"/>
      <c r="H97" s="1"/>
      <c r="I97" s="1"/>
      <c r="J97" s="1"/>
      <c r="K97"/>
    </row>
    <row r="98" spans="1:13" s="4" customFormat="1" ht="15" x14ac:dyDescent="0.25">
      <c r="A98" s="1"/>
      <c r="B98" s="7" t="s">
        <v>44</v>
      </c>
      <c r="C98" s="1"/>
      <c r="D98" s="2"/>
      <c r="E98" s="1"/>
      <c r="F98" s="1"/>
      <c r="G98" s="1"/>
      <c r="H98" s="1"/>
      <c r="I98" s="1"/>
      <c r="J98" s="1"/>
      <c r="K98"/>
    </row>
    <row r="99" spans="1:13" s="4" customFormat="1" ht="15" x14ac:dyDescent="0.25">
      <c r="C99" s="1"/>
      <c r="D99" s="2"/>
      <c r="E99" s="1"/>
      <c r="F99" s="1"/>
      <c r="G99" s="1"/>
      <c r="H99" s="1"/>
      <c r="I99" s="1"/>
      <c r="J99" s="1"/>
      <c r="K99"/>
    </row>
    <row r="100" spans="1:13" s="5" customFormat="1" ht="15" x14ac:dyDescent="0.25">
      <c r="A100" s="39" t="s">
        <v>30</v>
      </c>
      <c r="B100" s="41" t="s">
        <v>31</v>
      </c>
      <c r="C100" s="35" t="s">
        <v>32</v>
      </c>
      <c r="D100" s="35"/>
      <c r="E100" s="35"/>
      <c r="F100" s="35" t="s">
        <v>36</v>
      </c>
      <c r="G100" s="35" t="s">
        <v>33</v>
      </c>
      <c r="H100" s="35"/>
      <c r="I100" s="36"/>
      <c r="J100" s="37" t="s">
        <v>1</v>
      </c>
      <c r="L100" s="4"/>
      <c r="M100" s="4"/>
    </row>
    <row r="101" spans="1:13" s="4" customFormat="1" ht="15" x14ac:dyDescent="0.25">
      <c r="A101" s="40"/>
      <c r="B101" s="41"/>
      <c r="C101" s="14" t="s">
        <v>34</v>
      </c>
      <c r="D101" s="15" t="s">
        <v>0</v>
      </c>
      <c r="E101" s="13" t="s">
        <v>35</v>
      </c>
      <c r="F101" s="35"/>
      <c r="G101" s="35"/>
      <c r="H101" s="35"/>
      <c r="I101" s="36"/>
      <c r="J101" s="38"/>
    </row>
    <row r="102" spans="1:13" s="4" customFormat="1" ht="15" x14ac:dyDescent="0.25">
      <c r="A102" s="1">
        <v>1</v>
      </c>
      <c r="B102" t="s">
        <v>2</v>
      </c>
      <c r="C102" s="1">
        <v>1</v>
      </c>
      <c r="D102" s="2">
        <v>9</v>
      </c>
      <c r="E102" s="1"/>
      <c r="F102" s="3">
        <v>2</v>
      </c>
      <c r="G102" s="1">
        <v>1</v>
      </c>
      <c r="H102" s="1" t="s">
        <v>4</v>
      </c>
      <c r="I102" s="1">
        <f>F102</f>
        <v>2</v>
      </c>
      <c r="J102" s="1" t="s">
        <v>93</v>
      </c>
    </row>
    <row r="103" spans="1:13" s="4" customFormat="1" ht="15" x14ac:dyDescent="0.25">
      <c r="A103" s="1">
        <v>2</v>
      </c>
      <c r="B103" t="s">
        <v>3</v>
      </c>
      <c r="C103" s="1">
        <v>1</v>
      </c>
      <c r="D103" s="2">
        <v>10</v>
      </c>
      <c r="E103" s="1"/>
      <c r="F103" s="3">
        <v>3</v>
      </c>
      <c r="G103" s="1">
        <f>I102+1</f>
        <v>3</v>
      </c>
      <c r="H103" s="1" t="s">
        <v>4</v>
      </c>
      <c r="I103" s="1">
        <f>I102+F103</f>
        <v>5</v>
      </c>
      <c r="J103" s="1" t="s">
        <v>42</v>
      </c>
    </row>
    <row r="104" spans="1:13" s="4" customFormat="1" ht="15" x14ac:dyDescent="0.25">
      <c r="A104" s="1">
        <v>3</v>
      </c>
      <c r="B104" t="s">
        <v>28</v>
      </c>
      <c r="C104" s="1">
        <v>1</v>
      </c>
      <c r="D104" s="2">
        <v>11</v>
      </c>
      <c r="E104" s="1"/>
      <c r="F104" s="3">
        <v>5</v>
      </c>
      <c r="G104" s="1">
        <f>I103+1</f>
        <v>6</v>
      </c>
      <c r="H104" s="1" t="s">
        <v>4</v>
      </c>
      <c r="I104" s="1">
        <f>I103+F104</f>
        <v>10</v>
      </c>
      <c r="J104" s="1"/>
    </row>
    <row r="105" spans="1:13" s="4" customFormat="1" ht="15" x14ac:dyDescent="0.25">
      <c r="A105" s="1">
        <v>4</v>
      </c>
      <c r="B105" t="s">
        <v>161</v>
      </c>
      <c r="C105" s="1">
        <v>1</v>
      </c>
      <c r="D105" s="2">
        <v>2</v>
      </c>
      <c r="E105" s="1"/>
      <c r="F105" s="3">
        <v>1</v>
      </c>
      <c r="G105" s="1">
        <f>I104+1</f>
        <v>11</v>
      </c>
      <c r="H105" s="1" t="s">
        <v>4</v>
      </c>
      <c r="I105" s="1">
        <f>I104+F105</f>
        <v>11</v>
      </c>
      <c r="J105" s="1"/>
    </row>
    <row r="106" spans="1:13" s="4" customFormat="1" ht="15" x14ac:dyDescent="0.25">
      <c r="A106" s="1">
        <v>5</v>
      </c>
      <c r="B106" t="s">
        <v>5</v>
      </c>
      <c r="C106" s="1">
        <v>1</v>
      </c>
      <c r="D106" s="2">
        <v>1</v>
      </c>
      <c r="E106" s="1"/>
      <c r="F106" s="3">
        <v>1</v>
      </c>
      <c r="G106" s="1">
        <f>I105+1</f>
        <v>12</v>
      </c>
      <c r="H106" s="1" t="s">
        <v>4</v>
      </c>
      <c r="I106" s="1">
        <f>I105+F106</f>
        <v>12</v>
      </c>
      <c r="J106" s="1"/>
    </row>
    <row r="107" spans="1:13" s="4" customFormat="1" ht="15" x14ac:dyDescent="0.25">
      <c r="A107" s="1">
        <v>6</v>
      </c>
      <c r="B107" t="s">
        <v>86</v>
      </c>
      <c r="C107" s="1">
        <v>1</v>
      </c>
      <c r="D107" s="2">
        <v>3</v>
      </c>
      <c r="E107" s="1"/>
      <c r="F107" s="3">
        <v>2</v>
      </c>
      <c r="G107" s="1">
        <f>I106+1</f>
        <v>13</v>
      </c>
      <c r="H107" s="1" t="s">
        <v>4</v>
      </c>
      <c r="I107" s="1">
        <f>I106+F107</f>
        <v>14</v>
      </c>
      <c r="J107" s="1"/>
    </row>
    <row r="108" spans="1:13" s="4" customFormat="1" ht="15" x14ac:dyDescent="0.25">
      <c r="A108" s="1">
        <v>7</v>
      </c>
      <c r="B108" t="s">
        <v>38</v>
      </c>
      <c r="C108" s="1"/>
      <c r="D108" s="2"/>
      <c r="E108" s="1"/>
      <c r="F108" s="3">
        <v>3</v>
      </c>
      <c r="G108" s="1">
        <f t="shared" ref="G108:G114" si="14">I107+1</f>
        <v>15</v>
      </c>
      <c r="H108" s="1" t="s">
        <v>4</v>
      </c>
      <c r="I108" s="1">
        <f t="shared" ref="I108:I114" si="15">I107+F108</f>
        <v>17</v>
      </c>
      <c r="J108" s="1" t="s">
        <v>91</v>
      </c>
    </row>
    <row r="109" spans="1:13" s="4" customFormat="1" ht="15" x14ac:dyDescent="0.25">
      <c r="A109" s="1">
        <v>8</v>
      </c>
      <c r="B109" t="s">
        <v>6</v>
      </c>
      <c r="C109" s="1"/>
      <c r="D109" s="2"/>
      <c r="E109" s="1"/>
      <c r="F109" s="3">
        <v>2</v>
      </c>
      <c r="G109" s="1">
        <f t="shared" si="14"/>
        <v>18</v>
      </c>
      <c r="H109" s="1" t="s">
        <v>4</v>
      </c>
      <c r="I109" s="1">
        <f t="shared" si="15"/>
        <v>19</v>
      </c>
      <c r="J109" s="1" t="s">
        <v>91</v>
      </c>
    </row>
    <row r="110" spans="1:13" s="4" customFormat="1" ht="15" x14ac:dyDescent="0.25">
      <c r="A110" s="1">
        <v>9</v>
      </c>
      <c r="B110" t="s">
        <v>7</v>
      </c>
      <c r="C110" s="1"/>
      <c r="D110" s="2"/>
      <c r="E110" s="1"/>
      <c r="F110" s="3">
        <v>2</v>
      </c>
      <c r="G110" s="1">
        <f t="shared" si="14"/>
        <v>20</v>
      </c>
      <c r="H110" s="1" t="s">
        <v>4</v>
      </c>
      <c r="I110" s="1">
        <f t="shared" si="15"/>
        <v>21</v>
      </c>
      <c r="J110" s="1" t="s">
        <v>91</v>
      </c>
    </row>
    <row r="111" spans="1:13" s="4" customFormat="1" ht="15" x14ac:dyDescent="0.25">
      <c r="A111" s="1">
        <v>10</v>
      </c>
      <c r="B111" t="s">
        <v>37</v>
      </c>
      <c r="C111" s="1"/>
      <c r="D111" s="2"/>
      <c r="E111" s="1"/>
      <c r="F111" s="3">
        <v>2</v>
      </c>
      <c r="G111" s="1">
        <f t="shared" si="14"/>
        <v>22</v>
      </c>
      <c r="H111" s="1" t="s">
        <v>4</v>
      </c>
      <c r="I111" s="1">
        <f t="shared" si="15"/>
        <v>23</v>
      </c>
      <c r="J111" s="1" t="s">
        <v>91</v>
      </c>
    </row>
    <row r="112" spans="1:13" s="4" customFormat="1" ht="15" x14ac:dyDescent="0.25">
      <c r="A112" s="1">
        <v>11</v>
      </c>
      <c r="B112" t="s">
        <v>8</v>
      </c>
      <c r="C112" s="1"/>
      <c r="D112" s="2"/>
      <c r="E112" s="1"/>
      <c r="F112" s="3">
        <v>1</v>
      </c>
      <c r="G112" s="1">
        <f t="shared" si="14"/>
        <v>24</v>
      </c>
      <c r="H112" s="1" t="s">
        <v>4</v>
      </c>
      <c r="I112" s="1">
        <f t="shared" si="15"/>
        <v>24</v>
      </c>
      <c r="J112" s="1" t="s">
        <v>91</v>
      </c>
    </row>
    <row r="113" spans="1:11" s="4" customFormat="1" ht="15" x14ac:dyDescent="0.25">
      <c r="A113" s="1">
        <v>12</v>
      </c>
      <c r="B113" t="s">
        <v>9</v>
      </c>
      <c r="C113" s="1"/>
      <c r="D113" s="2"/>
      <c r="E113" s="1"/>
      <c r="F113" s="3">
        <v>4</v>
      </c>
      <c r="G113" s="1">
        <f t="shared" si="14"/>
        <v>25</v>
      </c>
      <c r="H113" s="1" t="s">
        <v>4</v>
      </c>
      <c r="I113" s="1">
        <f t="shared" si="15"/>
        <v>28</v>
      </c>
      <c r="J113" s="1" t="s">
        <v>91</v>
      </c>
    </row>
    <row r="114" spans="1:11" s="4" customFormat="1" ht="15" x14ac:dyDescent="0.25">
      <c r="A114" s="1">
        <v>13</v>
      </c>
      <c r="B114" t="s">
        <v>87</v>
      </c>
      <c r="C114" s="1">
        <v>1</v>
      </c>
      <c r="D114" s="2">
        <v>8</v>
      </c>
      <c r="E114" s="1"/>
      <c r="F114" s="3">
        <v>2</v>
      </c>
      <c r="G114" s="1">
        <f t="shared" si="14"/>
        <v>29</v>
      </c>
      <c r="H114" s="1" t="s">
        <v>4</v>
      </c>
      <c r="I114" s="1">
        <f t="shared" si="15"/>
        <v>30</v>
      </c>
      <c r="J114" s="1"/>
    </row>
    <row r="115" spans="1:11" s="4" customFormat="1" ht="15" x14ac:dyDescent="0.25">
      <c r="A115" s="1">
        <v>14</v>
      </c>
      <c r="B115" t="s">
        <v>88</v>
      </c>
      <c r="C115" s="1">
        <v>1</v>
      </c>
      <c r="D115" s="2">
        <v>12</v>
      </c>
      <c r="E115" s="1"/>
      <c r="F115" s="3">
        <v>1</v>
      </c>
      <c r="G115" s="1">
        <f t="shared" ref="G115:G134" si="16">I114+1</f>
        <v>31</v>
      </c>
      <c r="H115" s="1" t="s">
        <v>4</v>
      </c>
      <c r="I115" s="1">
        <f t="shared" ref="I115:I134" si="17">I114+F115</f>
        <v>31</v>
      </c>
      <c r="J115" s="1"/>
    </row>
    <row r="116" spans="1:11" s="4" customFormat="1" ht="15" x14ac:dyDescent="0.25">
      <c r="A116" s="1">
        <v>15</v>
      </c>
      <c r="B116" t="s">
        <v>21</v>
      </c>
      <c r="C116" s="1">
        <v>1</v>
      </c>
      <c r="D116" s="2">
        <v>13</v>
      </c>
      <c r="E116" s="1"/>
      <c r="F116" s="3">
        <v>1</v>
      </c>
      <c r="G116" s="1">
        <f t="shared" si="16"/>
        <v>32</v>
      </c>
      <c r="H116" s="1" t="s">
        <v>4</v>
      </c>
      <c r="I116" s="1">
        <f t="shared" si="17"/>
        <v>32</v>
      </c>
      <c r="J116" s="1"/>
    </row>
    <row r="117" spans="1:11" s="4" customFormat="1" ht="15" x14ac:dyDescent="0.25">
      <c r="A117" s="1">
        <v>17</v>
      </c>
      <c r="B117" t="s">
        <v>22</v>
      </c>
      <c r="C117" s="1">
        <v>1</v>
      </c>
      <c r="D117" s="2">
        <v>14</v>
      </c>
      <c r="E117" s="1"/>
      <c r="F117" s="3">
        <v>2</v>
      </c>
      <c r="G117" s="1">
        <f t="shared" si="16"/>
        <v>33</v>
      </c>
      <c r="H117" s="1" t="s">
        <v>4</v>
      </c>
      <c r="I117" s="1">
        <f t="shared" si="17"/>
        <v>34</v>
      </c>
      <c r="J117" s="12"/>
    </row>
    <row r="118" spans="1:11" s="4" customFormat="1" ht="15" x14ac:dyDescent="0.25">
      <c r="A118" s="1">
        <v>18</v>
      </c>
      <c r="B118" t="s">
        <v>89</v>
      </c>
      <c r="C118" s="1"/>
      <c r="D118" s="2"/>
      <c r="E118" s="1"/>
      <c r="F118" s="3">
        <v>2</v>
      </c>
      <c r="G118" s="1">
        <f t="shared" si="16"/>
        <v>35</v>
      </c>
      <c r="H118" s="1" t="s">
        <v>4</v>
      </c>
      <c r="I118" s="1">
        <f t="shared" si="17"/>
        <v>36</v>
      </c>
      <c r="J118" s="1" t="s">
        <v>17</v>
      </c>
      <c r="K118"/>
    </row>
    <row r="119" spans="1:11" s="4" customFormat="1" ht="15" x14ac:dyDescent="0.25">
      <c r="A119" s="1">
        <v>19</v>
      </c>
      <c r="B119" t="s">
        <v>49</v>
      </c>
      <c r="C119" s="1">
        <v>5.0999999999999996</v>
      </c>
      <c r="D119" s="24"/>
      <c r="E119" s="22">
        <v>1</v>
      </c>
      <c r="F119" s="3">
        <v>2</v>
      </c>
      <c r="G119" s="1">
        <f t="shared" si="16"/>
        <v>37</v>
      </c>
      <c r="H119" s="1" t="s">
        <v>4</v>
      </c>
      <c r="I119" s="1">
        <f t="shared" si="17"/>
        <v>38</v>
      </c>
      <c r="J119" s="1"/>
      <c r="K119"/>
    </row>
    <row r="120" spans="1:11" s="4" customFormat="1" ht="15" x14ac:dyDescent="0.25">
      <c r="A120" s="1">
        <v>20</v>
      </c>
      <c r="B120" t="s">
        <v>46</v>
      </c>
      <c r="C120" s="1">
        <v>5.0999999999999996</v>
      </c>
      <c r="D120" s="2"/>
      <c r="E120" s="1">
        <v>2</v>
      </c>
      <c r="F120" s="3">
        <v>2</v>
      </c>
      <c r="G120" s="1">
        <f t="shared" si="16"/>
        <v>39</v>
      </c>
      <c r="H120" s="1" t="s">
        <v>4</v>
      </c>
      <c r="I120" s="1">
        <f t="shared" si="17"/>
        <v>40</v>
      </c>
      <c r="J120" s="1"/>
      <c r="K120"/>
    </row>
    <row r="121" spans="1:11" s="4" customFormat="1" ht="15" x14ac:dyDescent="0.25">
      <c r="A121" s="1">
        <v>21</v>
      </c>
      <c r="B121" t="s">
        <v>145</v>
      </c>
      <c r="C121" s="1">
        <v>5.0999999999999996</v>
      </c>
      <c r="D121" s="2"/>
      <c r="E121" s="1">
        <v>3</v>
      </c>
      <c r="F121" s="3">
        <v>2</v>
      </c>
      <c r="G121" s="1">
        <f t="shared" si="16"/>
        <v>41</v>
      </c>
      <c r="H121" s="1" t="s">
        <v>4</v>
      </c>
      <c r="I121" s="1">
        <f t="shared" si="17"/>
        <v>42</v>
      </c>
      <c r="J121" s="1"/>
      <c r="K121"/>
    </row>
    <row r="122" spans="1:11" s="4" customFormat="1" ht="15" x14ac:dyDescent="0.25">
      <c r="A122" s="1">
        <v>22</v>
      </c>
      <c r="B122" t="s">
        <v>14</v>
      </c>
      <c r="C122" s="1">
        <v>5.0999999999999996</v>
      </c>
      <c r="D122" s="2"/>
      <c r="E122" s="1">
        <v>4</v>
      </c>
      <c r="F122" s="3">
        <v>3</v>
      </c>
      <c r="G122" s="1">
        <f t="shared" si="16"/>
        <v>43</v>
      </c>
      <c r="H122" s="1" t="s">
        <v>4</v>
      </c>
      <c r="I122" s="1">
        <f t="shared" si="17"/>
        <v>45</v>
      </c>
      <c r="J122" s="1"/>
      <c r="K122"/>
    </row>
    <row r="123" spans="1:11" s="4" customFormat="1" ht="15" x14ac:dyDescent="0.25">
      <c r="A123" s="1">
        <v>23</v>
      </c>
      <c r="B123" t="s">
        <v>146</v>
      </c>
      <c r="C123" s="1">
        <v>5.0999999999999996</v>
      </c>
      <c r="D123" s="24"/>
      <c r="E123" s="22">
        <v>5</v>
      </c>
      <c r="F123" s="3">
        <v>1</v>
      </c>
      <c r="G123" s="1">
        <f t="shared" si="16"/>
        <v>46</v>
      </c>
      <c r="H123" s="1" t="s">
        <v>4</v>
      </c>
      <c r="I123" s="1">
        <f t="shared" si="17"/>
        <v>46</v>
      </c>
      <c r="J123" s="1"/>
      <c r="K123"/>
    </row>
    <row r="124" spans="1:11" s="4" customFormat="1" ht="15" x14ac:dyDescent="0.25">
      <c r="A124" s="1">
        <v>24</v>
      </c>
      <c r="B124" t="s">
        <v>47</v>
      </c>
      <c r="C124" s="1">
        <v>5.0999999999999996</v>
      </c>
      <c r="D124" s="2"/>
      <c r="E124" s="1">
        <v>6</v>
      </c>
      <c r="F124" s="3">
        <v>1</v>
      </c>
      <c r="G124" s="1">
        <f t="shared" si="16"/>
        <v>47</v>
      </c>
      <c r="H124" s="1" t="s">
        <v>4</v>
      </c>
      <c r="I124" s="1">
        <f t="shared" si="17"/>
        <v>47</v>
      </c>
      <c r="J124" s="1"/>
      <c r="K124"/>
    </row>
    <row r="125" spans="1:11" s="4" customFormat="1" ht="15" x14ac:dyDescent="0.25">
      <c r="A125" s="1">
        <v>25</v>
      </c>
      <c r="B125" t="s">
        <v>147</v>
      </c>
      <c r="C125" s="1">
        <v>5.0999999999999996</v>
      </c>
      <c r="D125" s="2"/>
      <c r="E125" s="1">
        <v>7</v>
      </c>
      <c r="F125" s="3">
        <v>2</v>
      </c>
      <c r="G125" s="1">
        <f t="shared" si="16"/>
        <v>48</v>
      </c>
      <c r="H125" s="1" t="s">
        <v>4</v>
      </c>
      <c r="I125" s="1">
        <f t="shared" si="17"/>
        <v>49</v>
      </c>
      <c r="J125" s="1"/>
      <c r="K125"/>
    </row>
    <row r="126" spans="1:11" s="4" customFormat="1" ht="15" x14ac:dyDescent="0.25">
      <c r="A126" s="1">
        <v>26</v>
      </c>
      <c r="B126" t="s">
        <v>148</v>
      </c>
      <c r="C126" s="1">
        <v>5.0999999999999996</v>
      </c>
      <c r="D126" s="2"/>
      <c r="E126" s="1">
        <v>8</v>
      </c>
      <c r="F126" s="3">
        <v>2</v>
      </c>
      <c r="G126" s="1">
        <f t="shared" si="16"/>
        <v>50</v>
      </c>
      <c r="H126" s="1" t="s">
        <v>4</v>
      </c>
      <c r="I126" s="1">
        <f t="shared" si="17"/>
        <v>51</v>
      </c>
      <c r="J126" s="1"/>
      <c r="K126"/>
    </row>
    <row r="127" spans="1:11" s="4" customFormat="1" ht="15" x14ac:dyDescent="0.25">
      <c r="A127" s="1">
        <v>27</v>
      </c>
      <c r="B127" t="s">
        <v>149</v>
      </c>
      <c r="C127" s="1">
        <v>5.0999999999999996</v>
      </c>
      <c r="D127" s="2"/>
      <c r="E127" s="1">
        <v>9</v>
      </c>
      <c r="F127" s="3">
        <v>2</v>
      </c>
      <c r="G127" s="1">
        <f t="shared" si="16"/>
        <v>52</v>
      </c>
      <c r="H127" s="1" t="s">
        <v>4</v>
      </c>
      <c r="I127" s="1">
        <f t="shared" si="17"/>
        <v>53</v>
      </c>
      <c r="J127" s="1"/>
      <c r="K127"/>
    </row>
    <row r="128" spans="1:11" s="4" customFormat="1" ht="15" x14ac:dyDescent="0.25">
      <c r="A128" s="1">
        <v>28</v>
      </c>
      <c r="B128" t="s">
        <v>150</v>
      </c>
      <c r="C128" s="1">
        <v>5.0999999999999996</v>
      </c>
      <c r="D128" s="20"/>
      <c r="E128" s="17">
        <v>10</v>
      </c>
      <c r="F128" s="3">
        <v>2</v>
      </c>
      <c r="G128" s="1">
        <f t="shared" si="16"/>
        <v>54</v>
      </c>
      <c r="H128" s="1" t="s">
        <v>4</v>
      </c>
      <c r="I128" s="1">
        <f t="shared" si="17"/>
        <v>55</v>
      </c>
      <c r="J128" s="1"/>
      <c r="K128"/>
    </row>
    <row r="129" spans="1:13" s="4" customFormat="1" ht="15" x14ac:dyDescent="0.25">
      <c r="A129" s="1">
        <v>29</v>
      </c>
      <c r="B129" t="s">
        <v>151</v>
      </c>
      <c r="C129" s="1">
        <v>5.0999999999999996</v>
      </c>
      <c r="D129" s="20"/>
      <c r="E129" s="17">
        <v>11</v>
      </c>
      <c r="F129" s="3">
        <v>3</v>
      </c>
      <c r="G129" s="1">
        <f t="shared" si="16"/>
        <v>56</v>
      </c>
      <c r="H129" s="1" t="s">
        <v>4</v>
      </c>
      <c r="I129" s="1">
        <f t="shared" si="17"/>
        <v>58</v>
      </c>
      <c r="J129" s="1"/>
      <c r="K129"/>
    </row>
    <row r="130" spans="1:13" s="4" customFormat="1" ht="15" x14ac:dyDescent="0.25">
      <c r="A130" s="1">
        <v>30</v>
      </c>
      <c r="B130" t="s">
        <v>152</v>
      </c>
      <c r="C130" s="1">
        <v>5.0999999999999996</v>
      </c>
      <c r="D130" s="2"/>
      <c r="E130" s="1">
        <v>12</v>
      </c>
      <c r="F130" s="3">
        <v>1</v>
      </c>
      <c r="G130" s="1">
        <f t="shared" si="16"/>
        <v>59</v>
      </c>
      <c r="H130" s="1" t="s">
        <v>4</v>
      </c>
      <c r="I130" s="1">
        <f t="shared" si="17"/>
        <v>59</v>
      </c>
      <c r="J130" s="1"/>
      <c r="K130"/>
    </row>
    <row r="131" spans="1:13" s="4" customFormat="1" ht="15" x14ac:dyDescent="0.25">
      <c r="A131" s="1">
        <v>31</v>
      </c>
      <c r="B131" t="s">
        <v>48</v>
      </c>
      <c r="C131" s="1">
        <v>5.0999999999999996</v>
      </c>
      <c r="D131" s="2"/>
      <c r="E131" s="1">
        <v>13</v>
      </c>
      <c r="F131" s="3">
        <v>2</v>
      </c>
      <c r="G131" s="1">
        <f t="shared" si="16"/>
        <v>60</v>
      </c>
      <c r="H131" s="1" t="s">
        <v>4</v>
      </c>
      <c r="I131" s="1">
        <f t="shared" si="17"/>
        <v>61</v>
      </c>
      <c r="J131" s="1"/>
      <c r="K131"/>
    </row>
    <row r="132" spans="1:13" s="4" customFormat="1" ht="15" x14ac:dyDescent="0.25">
      <c r="A132" s="1">
        <v>32</v>
      </c>
      <c r="B132" t="s">
        <v>159</v>
      </c>
      <c r="C132" s="1">
        <v>5.0999999999999996</v>
      </c>
      <c r="D132" s="2"/>
      <c r="E132" s="1">
        <v>14</v>
      </c>
      <c r="F132" s="3">
        <v>1</v>
      </c>
      <c r="G132" s="1">
        <f t="shared" si="16"/>
        <v>62</v>
      </c>
      <c r="H132" s="1" t="s">
        <v>4</v>
      </c>
      <c r="I132" s="1">
        <f t="shared" si="17"/>
        <v>62</v>
      </c>
      <c r="J132" s="1"/>
      <c r="K132"/>
    </row>
    <row r="133" spans="1:13" s="4" customFormat="1" ht="15" x14ac:dyDescent="0.25">
      <c r="A133" s="1">
        <v>33</v>
      </c>
      <c r="B133" s="25" t="s">
        <v>153</v>
      </c>
      <c r="C133" s="1">
        <v>5.0999999999999996</v>
      </c>
      <c r="D133" s="2"/>
      <c r="E133" s="1">
        <v>15</v>
      </c>
      <c r="F133" s="3">
        <v>2</v>
      </c>
      <c r="G133" s="1">
        <f t="shared" si="16"/>
        <v>63</v>
      </c>
      <c r="H133" s="1" t="s">
        <v>4</v>
      </c>
      <c r="I133" s="1">
        <f t="shared" si="17"/>
        <v>64</v>
      </c>
      <c r="J133" s="1"/>
      <c r="K133"/>
    </row>
    <row r="134" spans="1:13" s="4" customFormat="1" ht="15" x14ac:dyDescent="0.25">
      <c r="A134" s="1">
        <v>34</v>
      </c>
      <c r="B134" s="4" t="s">
        <v>96</v>
      </c>
      <c r="C134" s="22"/>
      <c r="D134" s="24"/>
      <c r="E134" s="22"/>
      <c r="F134" s="3">
        <v>10</v>
      </c>
      <c r="G134" s="1">
        <f t="shared" si="16"/>
        <v>65</v>
      </c>
      <c r="H134" s="1" t="s">
        <v>4</v>
      </c>
      <c r="I134" s="1">
        <f t="shared" si="17"/>
        <v>74</v>
      </c>
      <c r="J134" s="12"/>
      <c r="K134"/>
    </row>
    <row r="135" spans="1:13" s="26" customFormat="1" ht="15" x14ac:dyDescent="0.25">
      <c r="B135" s="4"/>
      <c r="C135" s="1"/>
      <c r="D135" s="2"/>
      <c r="E135" s="1"/>
      <c r="F135" s="1"/>
      <c r="G135" s="22"/>
      <c r="H135" s="22"/>
      <c r="I135" s="1"/>
      <c r="J135" s="27"/>
      <c r="K135"/>
      <c r="L135" s="4"/>
      <c r="M135" s="4"/>
    </row>
    <row r="136" spans="1:13" s="26" customFormat="1" ht="15" x14ac:dyDescent="0.25">
      <c r="B136" s="7" t="s">
        <v>50</v>
      </c>
      <c r="C136" s="1"/>
      <c r="D136" s="2"/>
      <c r="E136" s="1"/>
      <c r="F136" s="1"/>
      <c r="G136" s="1"/>
      <c r="H136" s="1"/>
      <c r="I136" s="12"/>
      <c r="J136" s="27"/>
      <c r="K136"/>
      <c r="L136" s="4"/>
      <c r="M136" s="4"/>
    </row>
    <row r="137" spans="1:13" s="4" customFormat="1" ht="15" x14ac:dyDescent="0.25">
      <c r="B137" s="5"/>
      <c r="C137" s="22"/>
      <c r="D137" s="24"/>
      <c r="E137" s="22"/>
      <c r="F137" s="22"/>
      <c r="G137" s="1"/>
      <c r="H137" s="1"/>
      <c r="I137" s="1"/>
      <c r="J137" s="1"/>
      <c r="K137"/>
    </row>
    <row r="138" spans="1:13" s="4" customFormat="1" ht="15" x14ac:dyDescent="0.25">
      <c r="A138" s="39" t="s">
        <v>30</v>
      </c>
      <c r="B138" s="41" t="s">
        <v>31</v>
      </c>
      <c r="C138" s="35" t="s">
        <v>32</v>
      </c>
      <c r="D138" s="35"/>
      <c r="E138" s="35"/>
      <c r="F138" s="35" t="s">
        <v>36</v>
      </c>
      <c r="G138" s="35" t="s">
        <v>33</v>
      </c>
      <c r="H138" s="35"/>
      <c r="I138" s="36"/>
      <c r="J138" s="37" t="s">
        <v>1</v>
      </c>
      <c r="K138"/>
    </row>
    <row r="139" spans="1:13" s="4" customFormat="1" ht="15" x14ac:dyDescent="0.25">
      <c r="A139" s="40"/>
      <c r="B139" s="41"/>
      <c r="C139" s="14" t="s">
        <v>34</v>
      </c>
      <c r="D139" s="15" t="s">
        <v>0</v>
      </c>
      <c r="E139" s="13" t="s">
        <v>35</v>
      </c>
      <c r="F139" s="35"/>
      <c r="G139" s="35"/>
      <c r="H139" s="35"/>
      <c r="I139" s="36"/>
      <c r="J139" s="38"/>
    </row>
    <row r="140" spans="1:13" s="4" customFormat="1" ht="15" x14ac:dyDescent="0.25">
      <c r="A140" s="1">
        <v>1</v>
      </c>
      <c r="B140" t="s">
        <v>2</v>
      </c>
      <c r="C140" s="1">
        <v>1</v>
      </c>
      <c r="D140" s="2">
        <v>9</v>
      </c>
      <c r="E140" s="1"/>
      <c r="F140" s="3">
        <v>2</v>
      </c>
      <c r="G140" s="1">
        <v>1</v>
      </c>
      <c r="H140" s="1" t="s">
        <v>4</v>
      </c>
      <c r="I140" s="1">
        <f>F140</f>
        <v>2</v>
      </c>
      <c r="J140" s="1" t="s">
        <v>93</v>
      </c>
    </row>
    <row r="141" spans="1:13" s="4" customFormat="1" ht="15" x14ac:dyDescent="0.25">
      <c r="A141" s="1">
        <v>2</v>
      </c>
      <c r="B141" t="s">
        <v>3</v>
      </c>
      <c r="C141" s="1">
        <v>1</v>
      </c>
      <c r="D141" s="2">
        <v>10</v>
      </c>
      <c r="E141" s="1"/>
      <c r="F141" s="3">
        <v>3</v>
      </c>
      <c r="G141" s="1">
        <f>I140+1</f>
        <v>3</v>
      </c>
      <c r="H141" s="1" t="s">
        <v>4</v>
      </c>
      <c r="I141" s="1">
        <f>I140+F141</f>
        <v>5</v>
      </c>
      <c r="J141" s="1" t="s">
        <v>42</v>
      </c>
    </row>
    <row r="142" spans="1:13" s="4" customFormat="1" ht="15" x14ac:dyDescent="0.25">
      <c r="A142" s="1">
        <v>3</v>
      </c>
      <c r="B142" t="s">
        <v>28</v>
      </c>
      <c r="C142" s="1">
        <v>1</v>
      </c>
      <c r="D142" s="2">
        <v>11</v>
      </c>
      <c r="E142" s="1"/>
      <c r="F142" s="3">
        <v>5</v>
      </c>
      <c r="G142" s="1">
        <f>I141+1</f>
        <v>6</v>
      </c>
      <c r="H142" s="1" t="s">
        <v>4</v>
      </c>
      <c r="I142" s="1">
        <f>I141+F142</f>
        <v>10</v>
      </c>
      <c r="J142" s="1"/>
    </row>
    <row r="143" spans="1:13" s="4" customFormat="1" ht="15" x14ac:dyDescent="0.25">
      <c r="A143" s="1">
        <v>4</v>
      </c>
      <c r="B143" t="s">
        <v>161</v>
      </c>
      <c r="C143" s="1">
        <v>1</v>
      </c>
      <c r="D143" s="2">
        <v>2</v>
      </c>
      <c r="E143" s="1"/>
      <c r="F143" s="3">
        <v>1</v>
      </c>
      <c r="G143" s="1">
        <f>I142+1</f>
        <v>11</v>
      </c>
      <c r="H143" s="1" t="s">
        <v>4</v>
      </c>
      <c r="I143" s="1">
        <f>I142+F143</f>
        <v>11</v>
      </c>
      <c r="J143" s="1"/>
    </row>
    <row r="144" spans="1:13" s="4" customFormat="1" ht="15" x14ac:dyDescent="0.25">
      <c r="A144" s="1">
        <v>5</v>
      </c>
      <c r="B144" t="s">
        <v>5</v>
      </c>
      <c r="C144" s="1">
        <v>1</v>
      </c>
      <c r="D144" s="2">
        <v>1</v>
      </c>
      <c r="E144" s="1"/>
      <c r="F144" s="3">
        <v>1</v>
      </c>
      <c r="G144" s="1">
        <f>I143+1</f>
        <v>12</v>
      </c>
      <c r="H144" s="1" t="s">
        <v>4</v>
      </c>
      <c r="I144" s="1">
        <f>I143+F144</f>
        <v>12</v>
      </c>
      <c r="J144" s="1"/>
    </row>
    <row r="145" spans="1:13" s="4" customFormat="1" ht="15" x14ac:dyDescent="0.25">
      <c r="A145" s="1">
        <v>6</v>
      </c>
      <c r="B145" t="s">
        <v>86</v>
      </c>
      <c r="C145" s="1">
        <v>1</v>
      </c>
      <c r="D145" s="2">
        <v>3</v>
      </c>
      <c r="E145" s="1"/>
      <c r="F145" s="3">
        <v>2</v>
      </c>
      <c r="G145" s="1">
        <f>I144+1</f>
        <v>13</v>
      </c>
      <c r="H145" s="1" t="s">
        <v>4</v>
      </c>
      <c r="I145" s="1">
        <f>I144+F145</f>
        <v>14</v>
      </c>
      <c r="J145" s="1"/>
    </row>
    <row r="146" spans="1:13" s="4" customFormat="1" ht="15" x14ac:dyDescent="0.25">
      <c r="A146" s="1">
        <v>7</v>
      </c>
      <c r="B146" t="s">
        <v>38</v>
      </c>
      <c r="C146" s="1"/>
      <c r="D146" s="2"/>
      <c r="E146" s="1"/>
      <c r="F146" s="3">
        <v>3</v>
      </c>
      <c r="G146" s="1">
        <f t="shared" ref="G146:G151" si="18">I145+1</f>
        <v>15</v>
      </c>
      <c r="H146" s="1" t="s">
        <v>4</v>
      </c>
      <c r="I146" s="1">
        <f t="shared" ref="I146:I151" si="19">I145+F146</f>
        <v>17</v>
      </c>
      <c r="J146" s="1" t="s">
        <v>91</v>
      </c>
    </row>
    <row r="147" spans="1:13" s="4" customFormat="1" ht="15" x14ac:dyDescent="0.25">
      <c r="A147" s="1">
        <v>8</v>
      </c>
      <c r="B147" t="s">
        <v>6</v>
      </c>
      <c r="C147" s="1"/>
      <c r="D147" s="2"/>
      <c r="E147" s="1"/>
      <c r="F147" s="3">
        <v>2</v>
      </c>
      <c r="G147" s="1">
        <f t="shared" si="18"/>
        <v>18</v>
      </c>
      <c r="H147" s="1" t="s">
        <v>4</v>
      </c>
      <c r="I147" s="1">
        <f t="shared" si="19"/>
        <v>19</v>
      </c>
      <c r="J147" s="1" t="s">
        <v>91</v>
      </c>
    </row>
    <row r="148" spans="1:13" s="4" customFormat="1" ht="15" x14ac:dyDescent="0.25">
      <c r="A148" s="1">
        <v>9</v>
      </c>
      <c r="B148" t="s">
        <v>7</v>
      </c>
      <c r="C148" s="1"/>
      <c r="D148" s="2"/>
      <c r="E148" s="1"/>
      <c r="F148" s="3">
        <v>2</v>
      </c>
      <c r="G148" s="1">
        <f t="shared" si="18"/>
        <v>20</v>
      </c>
      <c r="H148" s="1" t="s">
        <v>4</v>
      </c>
      <c r="I148" s="1">
        <f t="shared" si="19"/>
        <v>21</v>
      </c>
      <c r="J148" s="1" t="s">
        <v>91</v>
      </c>
    </row>
    <row r="149" spans="1:13" s="4" customFormat="1" ht="15" x14ac:dyDescent="0.25">
      <c r="A149" s="1">
        <v>10</v>
      </c>
      <c r="B149" t="s">
        <v>37</v>
      </c>
      <c r="C149" s="1"/>
      <c r="D149" s="2"/>
      <c r="E149" s="1"/>
      <c r="F149" s="3">
        <v>2</v>
      </c>
      <c r="G149" s="1">
        <f t="shared" si="18"/>
        <v>22</v>
      </c>
      <c r="H149" s="1" t="s">
        <v>4</v>
      </c>
      <c r="I149" s="1">
        <f t="shared" si="19"/>
        <v>23</v>
      </c>
      <c r="J149" s="1" t="s">
        <v>91</v>
      </c>
    </row>
    <row r="150" spans="1:13" s="4" customFormat="1" ht="15" x14ac:dyDescent="0.25">
      <c r="A150" s="1">
        <v>11</v>
      </c>
      <c r="B150" t="s">
        <v>8</v>
      </c>
      <c r="C150" s="1"/>
      <c r="D150" s="2"/>
      <c r="E150" s="1"/>
      <c r="F150" s="3">
        <v>1</v>
      </c>
      <c r="G150" s="1">
        <f t="shared" si="18"/>
        <v>24</v>
      </c>
      <c r="H150" s="1" t="s">
        <v>4</v>
      </c>
      <c r="I150" s="1">
        <f t="shared" si="19"/>
        <v>24</v>
      </c>
      <c r="J150" s="1" t="s">
        <v>91</v>
      </c>
    </row>
    <row r="151" spans="1:13" s="4" customFormat="1" ht="15" x14ac:dyDescent="0.25">
      <c r="A151" s="1">
        <v>12</v>
      </c>
      <c r="B151" t="s">
        <v>9</v>
      </c>
      <c r="C151" s="1"/>
      <c r="D151" s="2"/>
      <c r="E151" s="1"/>
      <c r="F151" s="3">
        <v>4</v>
      </c>
      <c r="G151" s="1">
        <f t="shared" si="18"/>
        <v>25</v>
      </c>
      <c r="H151" s="1" t="s">
        <v>4</v>
      </c>
      <c r="I151" s="1">
        <f t="shared" si="19"/>
        <v>28</v>
      </c>
      <c r="J151" s="1" t="s">
        <v>91</v>
      </c>
    </row>
    <row r="152" spans="1:13" s="4" customFormat="1" ht="15" x14ac:dyDescent="0.25">
      <c r="A152" s="1">
        <v>13</v>
      </c>
      <c r="B152" t="s">
        <v>87</v>
      </c>
      <c r="C152" s="1">
        <v>1</v>
      </c>
      <c r="D152" s="2">
        <v>8</v>
      </c>
      <c r="E152" s="1"/>
      <c r="F152" s="3">
        <v>2</v>
      </c>
      <c r="G152" s="1">
        <f t="shared" ref="G152:G172" si="20">I151+1</f>
        <v>29</v>
      </c>
      <c r="H152" s="1" t="s">
        <v>4</v>
      </c>
      <c r="I152" s="1">
        <f t="shared" ref="I152:I172" si="21">I151+F152</f>
        <v>30</v>
      </c>
      <c r="J152" s="1"/>
    </row>
    <row r="153" spans="1:13" s="4" customFormat="1" ht="15" x14ac:dyDescent="0.25">
      <c r="A153" s="1">
        <v>14</v>
      </c>
      <c r="B153" t="s">
        <v>88</v>
      </c>
      <c r="C153" s="1">
        <v>1</v>
      </c>
      <c r="D153" s="2">
        <v>12</v>
      </c>
      <c r="E153" s="1"/>
      <c r="F153" s="3">
        <v>1</v>
      </c>
      <c r="G153" s="1">
        <f t="shared" si="20"/>
        <v>31</v>
      </c>
      <c r="H153" s="1" t="s">
        <v>4</v>
      </c>
      <c r="I153" s="1">
        <f t="shared" si="21"/>
        <v>31</v>
      </c>
      <c r="J153" s="1"/>
    </row>
    <row r="154" spans="1:13" s="4" customFormat="1" ht="15" x14ac:dyDescent="0.25">
      <c r="A154" s="1">
        <v>15</v>
      </c>
      <c r="B154" t="s">
        <v>21</v>
      </c>
      <c r="C154" s="1">
        <v>1</v>
      </c>
      <c r="D154" s="2">
        <v>13</v>
      </c>
      <c r="E154" s="1"/>
      <c r="F154" s="3">
        <v>1</v>
      </c>
      <c r="G154" s="1">
        <f t="shared" si="20"/>
        <v>32</v>
      </c>
      <c r="H154" s="1" t="s">
        <v>4</v>
      </c>
      <c r="I154" s="1">
        <f t="shared" si="21"/>
        <v>32</v>
      </c>
      <c r="J154" s="1"/>
    </row>
    <row r="155" spans="1:13" s="4" customFormat="1" ht="15" x14ac:dyDescent="0.25">
      <c r="A155" s="1">
        <v>17</v>
      </c>
      <c r="B155" t="s">
        <v>22</v>
      </c>
      <c r="C155" s="1">
        <v>1</v>
      </c>
      <c r="D155" s="2">
        <v>14</v>
      </c>
      <c r="E155" s="1"/>
      <c r="F155" s="3">
        <v>2</v>
      </c>
      <c r="G155" s="1">
        <f t="shared" si="20"/>
        <v>33</v>
      </c>
      <c r="H155" s="1" t="s">
        <v>4</v>
      </c>
      <c r="I155" s="1">
        <f t="shared" si="21"/>
        <v>34</v>
      </c>
      <c r="J155" s="12"/>
    </row>
    <row r="156" spans="1:13" s="4" customFormat="1" ht="15" x14ac:dyDescent="0.25">
      <c r="A156" s="1">
        <v>18</v>
      </c>
      <c r="B156" t="s">
        <v>89</v>
      </c>
      <c r="C156" s="1"/>
      <c r="D156" s="2"/>
      <c r="E156" s="1"/>
      <c r="F156" s="3">
        <v>2</v>
      </c>
      <c r="G156" s="1">
        <f t="shared" si="20"/>
        <v>35</v>
      </c>
      <c r="H156" s="1" t="s">
        <v>4</v>
      </c>
      <c r="I156" s="1">
        <f t="shared" si="21"/>
        <v>36</v>
      </c>
      <c r="J156" s="1" t="s">
        <v>19</v>
      </c>
      <c r="K156"/>
    </row>
    <row r="157" spans="1:13" s="4" customFormat="1" ht="15" x14ac:dyDescent="0.25">
      <c r="A157" s="1">
        <v>19</v>
      </c>
      <c r="B157" t="s">
        <v>49</v>
      </c>
      <c r="C157" s="1">
        <v>5.2</v>
      </c>
      <c r="D157" s="2"/>
      <c r="E157" s="1">
        <v>1</v>
      </c>
      <c r="F157" s="3">
        <v>2</v>
      </c>
      <c r="G157" s="1">
        <f t="shared" si="20"/>
        <v>37</v>
      </c>
      <c r="H157" s="1" t="s">
        <v>4</v>
      </c>
      <c r="I157" s="1">
        <f t="shared" si="21"/>
        <v>38</v>
      </c>
      <c r="J157" s="1"/>
      <c r="K157"/>
    </row>
    <row r="158" spans="1:13" s="4" customFormat="1" ht="15" x14ac:dyDescent="0.25">
      <c r="A158" s="1">
        <v>20</v>
      </c>
      <c r="B158" t="s">
        <v>46</v>
      </c>
      <c r="C158" s="1">
        <v>5.2</v>
      </c>
      <c r="D158" s="2"/>
      <c r="E158" s="1">
        <v>2</v>
      </c>
      <c r="F158" s="3">
        <v>2</v>
      </c>
      <c r="G158" s="1">
        <f t="shared" si="20"/>
        <v>39</v>
      </c>
      <c r="H158" s="1" t="s">
        <v>4</v>
      </c>
      <c r="I158" s="1">
        <f t="shared" si="21"/>
        <v>40</v>
      </c>
      <c r="J158" s="1"/>
      <c r="K158"/>
    </row>
    <row r="159" spans="1:13" s="5" customFormat="1" ht="15" x14ac:dyDescent="0.25">
      <c r="A159" s="1">
        <v>21</v>
      </c>
      <c r="B159" t="s">
        <v>158</v>
      </c>
      <c r="C159" s="1">
        <v>5.2</v>
      </c>
      <c r="D159" s="2"/>
      <c r="E159" s="1">
        <v>3</v>
      </c>
      <c r="F159" s="3">
        <v>2</v>
      </c>
      <c r="G159" s="1">
        <f t="shared" si="20"/>
        <v>41</v>
      </c>
      <c r="H159" s="1" t="s">
        <v>4</v>
      </c>
      <c r="I159" s="1">
        <f t="shared" si="21"/>
        <v>42</v>
      </c>
      <c r="J159" s="22"/>
      <c r="K159"/>
      <c r="L159" s="4"/>
      <c r="M159" s="4"/>
    </row>
    <row r="160" spans="1:13" s="4" customFormat="1" ht="15" x14ac:dyDescent="0.25">
      <c r="A160" s="1">
        <v>22</v>
      </c>
      <c r="B160" t="s">
        <v>14</v>
      </c>
      <c r="C160" s="1">
        <v>5.2</v>
      </c>
      <c r="D160" s="2"/>
      <c r="E160" s="1">
        <v>4</v>
      </c>
      <c r="F160" s="3">
        <v>3</v>
      </c>
      <c r="G160" s="1">
        <f t="shared" si="20"/>
        <v>43</v>
      </c>
      <c r="H160" s="1" t="s">
        <v>4</v>
      </c>
      <c r="I160" s="1">
        <f t="shared" si="21"/>
        <v>45</v>
      </c>
      <c r="J160" s="1"/>
      <c r="K160"/>
    </row>
    <row r="161" spans="1:13" s="4" customFormat="1" ht="15" x14ac:dyDescent="0.25">
      <c r="A161" s="1">
        <v>23</v>
      </c>
      <c r="B161" t="s">
        <v>146</v>
      </c>
      <c r="C161" s="1">
        <v>5.2</v>
      </c>
      <c r="D161" s="2"/>
      <c r="E161" s="1">
        <v>5</v>
      </c>
      <c r="F161" s="3">
        <v>1</v>
      </c>
      <c r="G161" s="1">
        <f t="shared" si="20"/>
        <v>46</v>
      </c>
      <c r="H161" s="1" t="s">
        <v>4</v>
      </c>
      <c r="I161" s="1">
        <f t="shared" si="21"/>
        <v>46</v>
      </c>
      <c r="J161" s="1"/>
      <c r="K161"/>
    </row>
    <row r="162" spans="1:13" s="4" customFormat="1" ht="15" x14ac:dyDescent="0.25">
      <c r="A162" s="1">
        <v>24</v>
      </c>
      <c r="B162" t="s">
        <v>47</v>
      </c>
      <c r="C162" s="1">
        <v>5.2</v>
      </c>
      <c r="D162" s="2"/>
      <c r="E162" s="1">
        <v>6</v>
      </c>
      <c r="F162" s="3">
        <v>1</v>
      </c>
      <c r="G162" s="1">
        <f t="shared" si="20"/>
        <v>47</v>
      </c>
      <c r="H162" s="1" t="s">
        <v>4</v>
      </c>
      <c r="I162" s="1">
        <f t="shared" si="21"/>
        <v>47</v>
      </c>
      <c r="J162" s="1"/>
      <c r="K162"/>
    </row>
    <row r="163" spans="1:13" s="5" customFormat="1" ht="15" x14ac:dyDescent="0.25">
      <c r="A163" s="1">
        <v>25</v>
      </c>
      <c r="B163" t="s">
        <v>147</v>
      </c>
      <c r="C163" s="1">
        <v>5.2</v>
      </c>
      <c r="D163" s="2"/>
      <c r="E163" s="1">
        <v>7</v>
      </c>
      <c r="F163" s="3">
        <v>2</v>
      </c>
      <c r="G163" s="1">
        <f t="shared" si="20"/>
        <v>48</v>
      </c>
      <c r="H163" s="1" t="s">
        <v>4</v>
      </c>
      <c r="I163" s="1">
        <f t="shared" si="21"/>
        <v>49</v>
      </c>
      <c r="J163" s="22"/>
      <c r="K163"/>
      <c r="L163" s="4"/>
      <c r="M163" s="4"/>
    </row>
    <row r="164" spans="1:13" s="4" customFormat="1" ht="15" x14ac:dyDescent="0.25">
      <c r="A164" s="1">
        <v>26</v>
      </c>
      <c r="B164" t="s">
        <v>148</v>
      </c>
      <c r="C164" s="1">
        <v>5.2</v>
      </c>
      <c r="D164" s="2"/>
      <c r="E164" s="1">
        <v>8</v>
      </c>
      <c r="F164" s="3">
        <v>2</v>
      </c>
      <c r="G164" s="1">
        <f t="shared" si="20"/>
        <v>50</v>
      </c>
      <c r="H164" s="1" t="s">
        <v>4</v>
      </c>
      <c r="I164" s="1">
        <f t="shared" si="21"/>
        <v>51</v>
      </c>
      <c r="J164" s="1"/>
      <c r="K164"/>
    </row>
    <row r="165" spans="1:13" s="4" customFormat="1" ht="15" x14ac:dyDescent="0.25">
      <c r="A165" s="1">
        <v>27</v>
      </c>
      <c r="B165" t="s">
        <v>149</v>
      </c>
      <c r="C165" s="1">
        <v>5.2</v>
      </c>
      <c r="D165" s="20"/>
      <c r="E165" s="17">
        <v>9</v>
      </c>
      <c r="F165" s="3">
        <v>2</v>
      </c>
      <c r="G165" s="1">
        <f t="shared" si="20"/>
        <v>52</v>
      </c>
      <c r="H165" s="1" t="s">
        <v>4</v>
      </c>
      <c r="I165" s="1">
        <f t="shared" si="21"/>
        <v>53</v>
      </c>
      <c r="J165" s="1"/>
      <c r="K165"/>
    </row>
    <row r="166" spans="1:13" s="4" customFormat="1" ht="15" x14ac:dyDescent="0.25">
      <c r="A166" s="1">
        <v>28</v>
      </c>
      <c r="B166" t="s">
        <v>150</v>
      </c>
      <c r="C166" s="1">
        <v>5.2</v>
      </c>
      <c r="D166" s="20"/>
      <c r="E166" s="17">
        <v>10</v>
      </c>
      <c r="F166" s="3">
        <v>2</v>
      </c>
      <c r="G166" s="1">
        <f t="shared" si="20"/>
        <v>54</v>
      </c>
      <c r="H166" s="1" t="s">
        <v>4</v>
      </c>
      <c r="I166" s="1">
        <f t="shared" si="21"/>
        <v>55</v>
      </c>
      <c r="J166" s="1"/>
      <c r="K166"/>
    </row>
    <row r="167" spans="1:13" s="4" customFormat="1" ht="15" x14ac:dyDescent="0.25">
      <c r="A167" s="1">
        <v>29</v>
      </c>
      <c r="B167" t="s">
        <v>151</v>
      </c>
      <c r="C167" s="1">
        <v>5.2</v>
      </c>
      <c r="D167" s="2"/>
      <c r="E167" s="1">
        <v>11</v>
      </c>
      <c r="F167" s="3">
        <v>3</v>
      </c>
      <c r="G167" s="1">
        <f t="shared" si="20"/>
        <v>56</v>
      </c>
      <c r="H167" s="1" t="s">
        <v>4</v>
      </c>
      <c r="I167" s="1">
        <f t="shared" si="21"/>
        <v>58</v>
      </c>
      <c r="J167" s="1"/>
      <c r="K167"/>
    </row>
    <row r="168" spans="1:13" s="4" customFormat="1" ht="15" x14ac:dyDescent="0.25">
      <c r="A168" s="1">
        <v>30</v>
      </c>
      <c r="B168" t="s">
        <v>152</v>
      </c>
      <c r="C168" s="1">
        <v>5.2</v>
      </c>
      <c r="D168" s="2"/>
      <c r="E168" s="1">
        <v>12</v>
      </c>
      <c r="F168" s="3">
        <v>1</v>
      </c>
      <c r="G168" s="1">
        <f t="shared" si="20"/>
        <v>59</v>
      </c>
      <c r="H168" s="1" t="s">
        <v>4</v>
      </c>
      <c r="I168" s="1">
        <f t="shared" si="21"/>
        <v>59</v>
      </c>
      <c r="J168" s="12"/>
      <c r="K168"/>
    </row>
    <row r="169" spans="1:13" s="4" customFormat="1" ht="15" x14ac:dyDescent="0.25">
      <c r="A169" s="1">
        <v>31</v>
      </c>
      <c r="B169" t="s">
        <v>48</v>
      </c>
      <c r="C169" s="1">
        <v>5.2</v>
      </c>
      <c r="D169" s="2"/>
      <c r="E169" s="1">
        <v>13</v>
      </c>
      <c r="F169" s="3">
        <v>2</v>
      </c>
      <c r="G169" s="1">
        <f t="shared" si="20"/>
        <v>60</v>
      </c>
      <c r="H169" s="1" t="s">
        <v>4</v>
      </c>
      <c r="I169" s="1">
        <f t="shared" si="21"/>
        <v>61</v>
      </c>
      <c r="J169" s="12"/>
      <c r="K169"/>
    </row>
    <row r="170" spans="1:13" s="4" customFormat="1" ht="15" x14ac:dyDescent="0.25">
      <c r="A170" s="1">
        <v>32</v>
      </c>
      <c r="B170" t="s">
        <v>159</v>
      </c>
      <c r="C170" s="1">
        <v>5.2</v>
      </c>
      <c r="D170" s="2"/>
      <c r="E170" s="1">
        <v>14</v>
      </c>
      <c r="F170" s="3">
        <v>1</v>
      </c>
      <c r="G170" s="1">
        <f t="shared" si="20"/>
        <v>62</v>
      </c>
      <c r="H170" s="1" t="s">
        <v>4</v>
      </c>
      <c r="I170" s="1">
        <f t="shared" si="21"/>
        <v>62</v>
      </c>
      <c r="J170" s="1"/>
      <c r="K170"/>
    </row>
    <row r="171" spans="1:13" s="4" customFormat="1" ht="15" x14ac:dyDescent="0.25">
      <c r="A171" s="1">
        <v>33</v>
      </c>
      <c r="B171" s="25" t="s">
        <v>153</v>
      </c>
      <c r="C171" s="1">
        <v>5.2</v>
      </c>
      <c r="D171" s="2"/>
      <c r="E171" s="1">
        <v>15</v>
      </c>
      <c r="F171" s="3">
        <v>2</v>
      </c>
      <c r="G171" s="1">
        <f t="shared" si="20"/>
        <v>63</v>
      </c>
      <c r="H171" s="1" t="s">
        <v>4</v>
      </c>
      <c r="I171" s="1">
        <f t="shared" si="21"/>
        <v>64</v>
      </c>
      <c r="J171" s="1"/>
      <c r="K171"/>
    </row>
    <row r="172" spans="1:13" s="4" customFormat="1" ht="15" x14ac:dyDescent="0.25">
      <c r="A172" s="1">
        <v>34</v>
      </c>
      <c r="B172" s="4" t="s">
        <v>96</v>
      </c>
      <c r="C172" s="1"/>
      <c r="D172" s="2"/>
      <c r="E172" s="1"/>
      <c r="F172" s="3">
        <v>10</v>
      </c>
      <c r="G172" s="1">
        <f t="shared" si="20"/>
        <v>65</v>
      </c>
      <c r="H172" s="1" t="s">
        <v>4</v>
      </c>
      <c r="I172" s="1">
        <f t="shared" si="21"/>
        <v>74</v>
      </c>
      <c r="J172" s="1"/>
      <c r="K172"/>
    </row>
    <row r="173" spans="1:13" s="4" customFormat="1" ht="15" x14ac:dyDescent="0.25">
      <c r="C173" s="1"/>
      <c r="D173" s="2"/>
      <c r="E173" s="1"/>
      <c r="F173" s="1"/>
      <c r="G173" s="22"/>
      <c r="H173" s="22"/>
      <c r="I173" s="22"/>
      <c r="J173" s="1"/>
      <c r="K173"/>
    </row>
    <row r="174" spans="1:13" s="4" customFormat="1" ht="15" x14ac:dyDescent="0.25">
      <c r="B174" s="7" t="s">
        <v>141</v>
      </c>
      <c r="C174" s="1"/>
      <c r="D174" s="2"/>
      <c r="E174" s="1"/>
      <c r="F174" s="1"/>
      <c r="G174" s="1"/>
      <c r="H174" s="1"/>
      <c r="I174" s="12"/>
      <c r="J174" s="1"/>
      <c r="K174"/>
    </row>
    <row r="175" spans="1:13" s="4" customFormat="1" ht="15" x14ac:dyDescent="0.25">
      <c r="C175" s="1"/>
      <c r="D175" s="2"/>
      <c r="E175" s="1"/>
      <c r="F175" s="1"/>
      <c r="G175" s="1"/>
      <c r="H175" s="1"/>
      <c r="I175" s="1"/>
      <c r="J175" s="1"/>
      <c r="K175"/>
    </row>
    <row r="176" spans="1:13" s="4" customFormat="1" ht="15" x14ac:dyDescent="0.25">
      <c r="A176" s="39" t="s">
        <v>30</v>
      </c>
      <c r="B176" s="41" t="s">
        <v>31</v>
      </c>
      <c r="C176" s="35" t="s">
        <v>32</v>
      </c>
      <c r="D176" s="35"/>
      <c r="E176" s="35"/>
      <c r="F176" s="35" t="s">
        <v>36</v>
      </c>
      <c r="G176" s="35" t="s">
        <v>33</v>
      </c>
      <c r="H176" s="35"/>
      <c r="I176" s="36"/>
      <c r="J176" s="37" t="s">
        <v>1</v>
      </c>
      <c r="K176"/>
    </row>
    <row r="177" spans="1:13" s="5" customFormat="1" ht="15" x14ac:dyDescent="0.25">
      <c r="A177" s="40"/>
      <c r="B177" s="41"/>
      <c r="C177" s="14" t="s">
        <v>34</v>
      </c>
      <c r="D177" s="15" t="s">
        <v>0</v>
      </c>
      <c r="E177" s="13" t="s">
        <v>35</v>
      </c>
      <c r="F177" s="35"/>
      <c r="G177" s="35"/>
      <c r="H177" s="35"/>
      <c r="I177" s="36"/>
      <c r="J177" s="38"/>
      <c r="L177" s="4"/>
      <c r="M177" s="4"/>
    </row>
    <row r="178" spans="1:13" s="5" customFormat="1" ht="15" x14ac:dyDescent="0.25">
      <c r="A178" s="1">
        <v>1</v>
      </c>
      <c r="B178" t="s">
        <v>2</v>
      </c>
      <c r="C178" s="1">
        <v>1</v>
      </c>
      <c r="D178" s="2">
        <v>9</v>
      </c>
      <c r="E178" s="1"/>
      <c r="F178" s="3">
        <v>2</v>
      </c>
      <c r="G178" s="1">
        <v>1</v>
      </c>
      <c r="H178" s="1" t="s">
        <v>4</v>
      </c>
      <c r="I178" s="1">
        <f>F178</f>
        <v>2</v>
      </c>
      <c r="J178" s="1" t="s">
        <v>93</v>
      </c>
      <c r="L178" s="4"/>
      <c r="M178" s="4"/>
    </row>
    <row r="179" spans="1:13" s="5" customFormat="1" ht="15" x14ac:dyDescent="0.25">
      <c r="A179" s="1">
        <v>2</v>
      </c>
      <c r="B179" t="s">
        <v>3</v>
      </c>
      <c r="C179" s="1">
        <v>1</v>
      </c>
      <c r="D179" s="2">
        <v>10</v>
      </c>
      <c r="E179" s="1"/>
      <c r="F179" s="3">
        <v>3</v>
      </c>
      <c r="G179" s="1">
        <f>I178+1</f>
        <v>3</v>
      </c>
      <c r="H179" s="1" t="s">
        <v>4</v>
      </c>
      <c r="I179" s="1">
        <f>I178+F179</f>
        <v>5</v>
      </c>
      <c r="J179" s="1" t="s">
        <v>42</v>
      </c>
      <c r="L179" s="4"/>
      <c r="M179" s="4"/>
    </row>
    <row r="180" spans="1:13" s="5" customFormat="1" ht="15" x14ac:dyDescent="0.25">
      <c r="A180" s="1">
        <v>3</v>
      </c>
      <c r="B180" t="s">
        <v>28</v>
      </c>
      <c r="C180" s="1">
        <v>1</v>
      </c>
      <c r="D180" s="2">
        <v>11</v>
      </c>
      <c r="E180" s="1"/>
      <c r="F180" s="3">
        <v>5</v>
      </c>
      <c r="G180" s="1">
        <f>I179+1</f>
        <v>6</v>
      </c>
      <c r="H180" s="1" t="s">
        <v>4</v>
      </c>
      <c r="I180" s="1">
        <f>I179+F180</f>
        <v>10</v>
      </c>
      <c r="J180" s="1"/>
      <c r="L180" s="4"/>
      <c r="M180" s="4"/>
    </row>
    <row r="181" spans="1:13" s="5" customFormat="1" ht="15" x14ac:dyDescent="0.25">
      <c r="A181" s="1">
        <v>4</v>
      </c>
      <c r="B181" t="s">
        <v>161</v>
      </c>
      <c r="C181" s="1">
        <v>1</v>
      </c>
      <c r="D181" s="2">
        <v>2</v>
      </c>
      <c r="E181" s="1"/>
      <c r="F181" s="3">
        <v>1</v>
      </c>
      <c r="G181" s="1">
        <f>I180+1</f>
        <v>11</v>
      </c>
      <c r="H181" s="1" t="s">
        <v>4</v>
      </c>
      <c r="I181" s="1">
        <f>I180+F181</f>
        <v>11</v>
      </c>
      <c r="J181" s="1"/>
      <c r="L181" s="4"/>
      <c r="M181" s="4"/>
    </row>
    <row r="182" spans="1:13" s="5" customFormat="1" ht="15" x14ac:dyDescent="0.25">
      <c r="A182" s="1">
        <v>5</v>
      </c>
      <c r="B182" t="s">
        <v>5</v>
      </c>
      <c r="C182" s="1">
        <v>1</v>
      </c>
      <c r="D182" s="2">
        <v>1</v>
      </c>
      <c r="E182" s="1"/>
      <c r="F182" s="3">
        <v>1</v>
      </c>
      <c r="G182" s="1">
        <f>I181+1</f>
        <v>12</v>
      </c>
      <c r="H182" s="1" t="s">
        <v>4</v>
      </c>
      <c r="I182" s="1">
        <f>I181+F182</f>
        <v>12</v>
      </c>
      <c r="J182" s="1"/>
      <c r="L182" s="4"/>
      <c r="M182" s="4"/>
    </row>
    <row r="183" spans="1:13" s="5" customFormat="1" ht="15" x14ac:dyDescent="0.25">
      <c r="A183" s="1">
        <v>6</v>
      </c>
      <c r="B183" t="s">
        <v>86</v>
      </c>
      <c r="C183" s="1">
        <v>1</v>
      </c>
      <c r="D183" s="2">
        <v>3</v>
      </c>
      <c r="E183" s="1"/>
      <c r="F183" s="3">
        <v>2</v>
      </c>
      <c r="G183" s="1">
        <f>I182+1</f>
        <v>13</v>
      </c>
      <c r="H183" s="1" t="s">
        <v>4</v>
      </c>
      <c r="I183" s="1">
        <f>I182+F183</f>
        <v>14</v>
      </c>
      <c r="J183" s="1"/>
      <c r="L183" s="4"/>
      <c r="M183" s="4"/>
    </row>
    <row r="184" spans="1:13" s="5" customFormat="1" ht="15" x14ac:dyDescent="0.25">
      <c r="A184" s="1">
        <v>7</v>
      </c>
      <c r="B184" t="s">
        <v>38</v>
      </c>
      <c r="C184" s="1"/>
      <c r="D184" s="2"/>
      <c r="E184" s="1"/>
      <c r="F184" s="3">
        <v>3</v>
      </c>
      <c r="G184" s="1">
        <f t="shared" ref="G184:G192" si="22">I183+1</f>
        <v>15</v>
      </c>
      <c r="H184" s="1" t="s">
        <v>4</v>
      </c>
      <c r="I184" s="1">
        <f t="shared" ref="I184:I192" si="23">I183+F184</f>
        <v>17</v>
      </c>
      <c r="J184" s="1" t="s">
        <v>91</v>
      </c>
      <c r="L184" s="4"/>
      <c r="M184" s="4"/>
    </row>
    <row r="185" spans="1:13" s="5" customFormat="1" ht="15" x14ac:dyDescent="0.25">
      <c r="A185" s="1">
        <v>8</v>
      </c>
      <c r="B185" t="s">
        <v>6</v>
      </c>
      <c r="C185" s="1"/>
      <c r="D185" s="2"/>
      <c r="E185" s="1"/>
      <c r="F185" s="3">
        <v>2</v>
      </c>
      <c r="G185" s="1">
        <f t="shared" si="22"/>
        <v>18</v>
      </c>
      <c r="H185" s="1" t="s">
        <v>4</v>
      </c>
      <c r="I185" s="1">
        <f t="shared" si="23"/>
        <v>19</v>
      </c>
      <c r="J185" s="1" t="s">
        <v>91</v>
      </c>
      <c r="L185" s="4"/>
      <c r="M185" s="4"/>
    </row>
    <row r="186" spans="1:13" s="5" customFormat="1" ht="15" x14ac:dyDescent="0.25">
      <c r="A186" s="1">
        <v>9</v>
      </c>
      <c r="B186" t="s">
        <v>7</v>
      </c>
      <c r="C186" s="1"/>
      <c r="D186" s="2"/>
      <c r="E186" s="1"/>
      <c r="F186" s="3">
        <v>2</v>
      </c>
      <c r="G186" s="1">
        <f t="shared" si="22"/>
        <v>20</v>
      </c>
      <c r="H186" s="1" t="s">
        <v>4</v>
      </c>
      <c r="I186" s="1">
        <f t="shared" si="23"/>
        <v>21</v>
      </c>
      <c r="J186" s="1" t="s">
        <v>91</v>
      </c>
      <c r="L186" s="4"/>
      <c r="M186" s="4"/>
    </row>
    <row r="187" spans="1:13" s="5" customFormat="1" ht="15" x14ac:dyDescent="0.25">
      <c r="A187" s="1">
        <v>10</v>
      </c>
      <c r="B187" t="s">
        <v>37</v>
      </c>
      <c r="C187" s="1"/>
      <c r="D187" s="2"/>
      <c r="E187" s="1"/>
      <c r="F187" s="3">
        <v>2</v>
      </c>
      <c r="G187" s="1">
        <f t="shared" si="22"/>
        <v>22</v>
      </c>
      <c r="H187" s="1" t="s">
        <v>4</v>
      </c>
      <c r="I187" s="1">
        <f t="shared" si="23"/>
        <v>23</v>
      </c>
      <c r="J187" s="1" t="s">
        <v>91</v>
      </c>
      <c r="L187" s="4"/>
      <c r="M187" s="4"/>
    </row>
    <row r="188" spans="1:13" s="5" customFormat="1" ht="15" x14ac:dyDescent="0.25">
      <c r="A188" s="1">
        <v>11</v>
      </c>
      <c r="B188" t="s">
        <v>8</v>
      </c>
      <c r="C188" s="1"/>
      <c r="D188" s="2"/>
      <c r="E188" s="1"/>
      <c r="F188" s="3">
        <v>1</v>
      </c>
      <c r="G188" s="1">
        <f t="shared" si="22"/>
        <v>24</v>
      </c>
      <c r="H188" s="1" t="s">
        <v>4</v>
      </c>
      <c r="I188" s="1">
        <f t="shared" si="23"/>
        <v>24</v>
      </c>
      <c r="J188" s="1" t="s">
        <v>91</v>
      </c>
      <c r="L188" s="4"/>
      <c r="M188" s="4"/>
    </row>
    <row r="189" spans="1:13" s="5" customFormat="1" ht="15" x14ac:dyDescent="0.25">
      <c r="A189" s="1">
        <v>12</v>
      </c>
      <c r="B189" t="s">
        <v>9</v>
      </c>
      <c r="C189" s="1"/>
      <c r="D189" s="2"/>
      <c r="E189" s="1"/>
      <c r="F189" s="3">
        <v>4</v>
      </c>
      <c r="G189" s="1">
        <f t="shared" si="22"/>
        <v>25</v>
      </c>
      <c r="H189" s="1" t="s">
        <v>4</v>
      </c>
      <c r="I189" s="1">
        <f t="shared" si="23"/>
        <v>28</v>
      </c>
      <c r="J189" s="1" t="s">
        <v>91</v>
      </c>
      <c r="L189" s="4"/>
      <c r="M189" s="4"/>
    </row>
    <row r="190" spans="1:13" s="5" customFormat="1" ht="15" x14ac:dyDescent="0.25">
      <c r="A190" s="1">
        <v>13</v>
      </c>
      <c r="B190" t="s">
        <v>87</v>
      </c>
      <c r="C190" s="1">
        <v>1</v>
      </c>
      <c r="D190" s="2">
        <v>8</v>
      </c>
      <c r="E190" s="1"/>
      <c r="F190" s="3">
        <v>2</v>
      </c>
      <c r="G190" s="1">
        <f t="shared" si="22"/>
        <v>29</v>
      </c>
      <c r="H190" s="1" t="s">
        <v>4</v>
      </c>
      <c r="I190" s="1">
        <f t="shared" si="23"/>
        <v>30</v>
      </c>
      <c r="J190" s="1"/>
      <c r="L190" s="4"/>
      <c r="M190" s="4"/>
    </row>
    <row r="191" spans="1:13" s="5" customFormat="1" ht="15" x14ac:dyDescent="0.25">
      <c r="A191" s="1">
        <v>14</v>
      </c>
      <c r="B191" t="s">
        <v>88</v>
      </c>
      <c r="C191" s="1">
        <v>1</v>
      </c>
      <c r="D191" s="2">
        <v>12</v>
      </c>
      <c r="E191" s="1"/>
      <c r="F191" s="3">
        <v>1</v>
      </c>
      <c r="G191" s="1">
        <f t="shared" si="22"/>
        <v>31</v>
      </c>
      <c r="H191" s="1" t="s">
        <v>4</v>
      </c>
      <c r="I191" s="1">
        <f t="shared" si="23"/>
        <v>31</v>
      </c>
      <c r="J191" s="1"/>
      <c r="L191" s="4"/>
      <c r="M191" s="4"/>
    </row>
    <row r="192" spans="1:13" s="5" customFormat="1" ht="15" x14ac:dyDescent="0.25">
      <c r="A192" s="1">
        <v>15</v>
      </c>
      <c r="B192" t="s">
        <v>21</v>
      </c>
      <c r="C192" s="1">
        <v>1</v>
      </c>
      <c r="D192" s="2">
        <v>13</v>
      </c>
      <c r="E192" s="1"/>
      <c r="F192" s="3">
        <v>1</v>
      </c>
      <c r="G192" s="1">
        <f t="shared" si="22"/>
        <v>32</v>
      </c>
      <c r="H192" s="1" t="s">
        <v>4</v>
      </c>
      <c r="I192" s="1">
        <f t="shared" si="23"/>
        <v>32</v>
      </c>
      <c r="J192" s="1"/>
      <c r="L192" s="4"/>
      <c r="M192" s="4"/>
    </row>
    <row r="193" spans="1:13" s="5" customFormat="1" ht="15" x14ac:dyDescent="0.25">
      <c r="A193" s="1">
        <v>16</v>
      </c>
      <c r="B193" t="s">
        <v>22</v>
      </c>
      <c r="C193" s="1">
        <v>1</v>
      </c>
      <c r="D193" s="2">
        <v>14</v>
      </c>
      <c r="E193" s="1"/>
      <c r="F193" s="3">
        <v>2</v>
      </c>
      <c r="G193" s="1">
        <f t="shared" ref="G193:G253" si="24">I192+1</f>
        <v>33</v>
      </c>
      <c r="H193" s="1" t="s">
        <v>4</v>
      </c>
      <c r="I193" s="1">
        <f t="shared" ref="I193:I253" si="25">I192+F193</f>
        <v>34</v>
      </c>
      <c r="J193" s="12"/>
      <c r="L193" s="4"/>
      <c r="M193" s="4"/>
    </row>
    <row r="194" spans="1:13" s="4" customFormat="1" ht="15" x14ac:dyDescent="0.25">
      <c r="A194" s="1">
        <v>17</v>
      </c>
      <c r="B194" t="s">
        <v>89</v>
      </c>
      <c r="C194" s="1"/>
      <c r="D194" s="2"/>
      <c r="E194" s="1"/>
      <c r="F194" s="3">
        <v>2</v>
      </c>
      <c r="G194" s="1">
        <f t="shared" si="24"/>
        <v>35</v>
      </c>
      <c r="H194" s="1" t="s">
        <v>4</v>
      </c>
      <c r="I194" s="1">
        <f t="shared" si="25"/>
        <v>36</v>
      </c>
      <c r="J194" s="1" t="s">
        <v>18</v>
      </c>
      <c r="K194"/>
    </row>
    <row r="195" spans="1:13" s="4" customFormat="1" ht="15" x14ac:dyDescent="0.25">
      <c r="A195" s="1">
        <v>18</v>
      </c>
      <c r="B195" t="s">
        <v>51</v>
      </c>
      <c r="C195" s="17">
        <v>6.1</v>
      </c>
      <c r="D195" s="16">
        <v>1</v>
      </c>
      <c r="E195" s="17" t="s">
        <v>11</v>
      </c>
      <c r="F195" s="3">
        <v>2</v>
      </c>
      <c r="G195" s="1">
        <f t="shared" si="24"/>
        <v>37</v>
      </c>
      <c r="H195" s="1" t="s">
        <v>4</v>
      </c>
      <c r="I195" s="1">
        <f t="shared" si="25"/>
        <v>38</v>
      </c>
      <c r="J195" s="1"/>
      <c r="K195"/>
    </row>
    <row r="196" spans="1:13" s="4" customFormat="1" ht="15" x14ac:dyDescent="0.25">
      <c r="A196" s="1">
        <v>19</v>
      </c>
      <c r="B196" t="s">
        <v>47</v>
      </c>
      <c r="C196" s="17">
        <v>6.1</v>
      </c>
      <c r="D196" s="16">
        <v>2</v>
      </c>
      <c r="E196" s="17" t="s">
        <v>11</v>
      </c>
      <c r="F196" s="3">
        <v>1</v>
      </c>
      <c r="G196" s="1">
        <f t="shared" si="24"/>
        <v>39</v>
      </c>
      <c r="H196" s="1" t="s">
        <v>4</v>
      </c>
      <c r="I196" s="1">
        <f t="shared" si="25"/>
        <v>39</v>
      </c>
      <c r="J196" s="1"/>
      <c r="K196"/>
    </row>
    <row r="197" spans="1:13" s="4" customFormat="1" ht="15" x14ac:dyDescent="0.25">
      <c r="A197" s="1">
        <v>20</v>
      </c>
      <c r="B197" t="s">
        <v>40</v>
      </c>
      <c r="C197" s="17">
        <v>6.1</v>
      </c>
      <c r="D197" s="2">
        <v>3</v>
      </c>
      <c r="E197" s="17" t="s">
        <v>11</v>
      </c>
      <c r="F197" s="3">
        <v>7</v>
      </c>
      <c r="G197" s="1">
        <f t="shared" si="24"/>
        <v>40</v>
      </c>
      <c r="H197" s="1" t="s">
        <v>4</v>
      </c>
      <c r="I197" s="1">
        <f t="shared" si="25"/>
        <v>46</v>
      </c>
      <c r="J197" s="1"/>
      <c r="K197"/>
    </row>
    <row r="198" spans="1:13" s="4" customFormat="1" ht="15" x14ac:dyDescent="0.25">
      <c r="A198" s="1">
        <v>21</v>
      </c>
      <c r="B198" t="s">
        <v>56</v>
      </c>
      <c r="C198" s="17">
        <v>6.1</v>
      </c>
      <c r="D198" s="2">
        <v>3.1</v>
      </c>
      <c r="E198" s="17" t="s">
        <v>11</v>
      </c>
      <c r="F198" s="3">
        <v>1</v>
      </c>
      <c r="G198" s="1">
        <f t="shared" si="24"/>
        <v>47</v>
      </c>
      <c r="H198" s="1" t="s">
        <v>4</v>
      </c>
      <c r="I198" s="1">
        <f t="shared" si="25"/>
        <v>47</v>
      </c>
      <c r="J198" s="1"/>
      <c r="K198"/>
    </row>
    <row r="199" spans="1:13" s="4" customFormat="1" ht="15" x14ac:dyDescent="0.25">
      <c r="A199" s="1">
        <v>22</v>
      </c>
      <c r="B199" t="s">
        <v>57</v>
      </c>
      <c r="C199" s="17">
        <v>6.1</v>
      </c>
      <c r="D199" s="2">
        <v>3.2</v>
      </c>
      <c r="E199" s="17" t="s">
        <v>11</v>
      </c>
      <c r="F199" s="3">
        <v>1</v>
      </c>
      <c r="G199" s="1">
        <f t="shared" si="24"/>
        <v>48</v>
      </c>
      <c r="H199" s="1" t="s">
        <v>4</v>
      </c>
      <c r="I199" s="1">
        <f t="shared" si="25"/>
        <v>48</v>
      </c>
      <c r="J199" s="1"/>
      <c r="K199"/>
    </row>
    <row r="200" spans="1:13" s="4" customFormat="1" ht="15" x14ac:dyDescent="0.25">
      <c r="A200" s="1">
        <v>23</v>
      </c>
      <c r="B200" t="s">
        <v>154</v>
      </c>
      <c r="C200" s="17">
        <v>6.1</v>
      </c>
      <c r="D200" s="2">
        <v>3.3</v>
      </c>
      <c r="E200" s="17" t="s">
        <v>11</v>
      </c>
      <c r="F200" s="3">
        <v>1</v>
      </c>
      <c r="G200" s="1">
        <f t="shared" si="24"/>
        <v>49</v>
      </c>
      <c r="H200" s="1" t="s">
        <v>4</v>
      </c>
      <c r="I200" s="1">
        <f t="shared" si="25"/>
        <v>49</v>
      </c>
      <c r="J200" s="1"/>
      <c r="K200"/>
    </row>
    <row r="201" spans="1:13" s="4" customFormat="1" ht="15" x14ac:dyDescent="0.25">
      <c r="A201" s="1">
        <v>24</v>
      </c>
      <c r="B201" t="s">
        <v>58</v>
      </c>
      <c r="C201" s="17">
        <v>6.1</v>
      </c>
      <c r="D201" s="2">
        <v>3.4</v>
      </c>
      <c r="E201" s="17" t="s">
        <v>11</v>
      </c>
      <c r="F201" s="3">
        <v>1</v>
      </c>
      <c r="G201" s="1">
        <f t="shared" si="24"/>
        <v>50</v>
      </c>
      <c r="H201" s="1" t="s">
        <v>4</v>
      </c>
      <c r="I201" s="1">
        <f t="shared" si="25"/>
        <v>50</v>
      </c>
      <c r="J201" s="1"/>
      <c r="K201"/>
    </row>
    <row r="202" spans="1:13" s="4" customFormat="1" ht="15" x14ac:dyDescent="0.25">
      <c r="A202" s="1">
        <v>25</v>
      </c>
      <c r="B202" t="s">
        <v>52</v>
      </c>
      <c r="C202" s="17">
        <v>6.1</v>
      </c>
      <c r="D202" s="2">
        <v>4.0999999999999996</v>
      </c>
      <c r="E202" s="17" t="s">
        <v>11</v>
      </c>
      <c r="F202" s="3">
        <v>7</v>
      </c>
      <c r="G202" s="1">
        <f t="shared" si="24"/>
        <v>51</v>
      </c>
      <c r="H202" s="1" t="s">
        <v>4</v>
      </c>
      <c r="I202" s="1">
        <f t="shared" si="25"/>
        <v>57</v>
      </c>
      <c r="J202" s="1"/>
      <c r="K202"/>
    </row>
    <row r="203" spans="1:13" s="4" customFormat="1" ht="15" x14ac:dyDescent="0.25">
      <c r="A203" s="1">
        <v>26</v>
      </c>
      <c r="B203" t="s">
        <v>59</v>
      </c>
      <c r="C203" s="17">
        <v>6.1</v>
      </c>
      <c r="D203" s="2">
        <v>4.2</v>
      </c>
      <c r="E203" s="17" t="s">
        <v>11</v>
      </c>
      <c r="F203" s="3">
        <v>7</v>
      </c>
      <c r="G203" s="1">
        <f t="shared" si="24"/>
        <v>58</v>
      </c>
      <c r="H203" s="1" t="s">
        <v>4</v>
      </c>
      <c r="I203" s="1">
        <f t="shared" si="25"/>
        <v>64</v>
      </c>
      <c r="J203" s="1"/>
      <c r="K203"/>
    </row>
    <row r="204" spans="1:13" s="4" customFormat="1" ht="15" x14ac:dyDescent="0.25">
      <c r="A204" s="1">
        <v>27</v>
      </c>
      <c r="B204" t="s">
        <v>53</v>
      </c>
      <c r="C204" s="17">
        <v>6.1</v>
      </c>
      <c r="D204" s="2">
        <v>4.3</v>
      </c>
      <c r="E204" s="17" t="s">
        <v>11</v>
      </c>
      <c r="F204" s="3">
        <v>7</v>
      </c>
      <c r="G204" s="1">
        <f t="shared" si="24"/>
        <v>65</v>
      </c>
      <c r="H204" s="1" t="s">
        <v>4</v>
      </c>
      <c r="I204" s="1">
        <f t="shared" si="25"/>
        <v>71</v>
      </c>
      <c r="J204" s="1"/>
      <c r="K204"/>
    </row>
    <row r="205" spans="1:13" s="4" customFormat="1" ht="15" x14ac:dyDescent="0.25">
      <c r="A205" s="1">
        <v>28</v>
      </c>
      <c r="B205" t="s">
        <v>54</v>
      </c>
      <c r="C205" s="17">
        <v>6.1</v>
      </c>
      <c r="D205" s="2">
        <v>4.4000000000000004</v>
      </c>
      <c r="E205" s="17" t="s">
        <v>11</v>
      </c>
      <c r="F205" s="3">
        <v>7</v>
      </c>
      <c r="G205" s="1">
        <f t="shared" si="24"/>
        <v>72</v>
      </c>
      <c r="H205" s="1" t="s">
        <v>4</v>
      </c>
      <c r="I205" s="1">
        <f t="shared" si="25"/>
        <v>78</v>
      </c>
      <c r="J205" s="1"/>
      <c r="K205"/>
    </row>
    <row r="206" spans="1:13" s="4" customFormat="1" ht="15" x14ac:dyDescent="0.25">
      <c r="A206" s="1">
        <v>29</v>
      </c>
      <c r="B206" t="s">
        <v>98</v>
      </c>
      <c r="C206" s="17">
        <v>6.1</v>
      </c>
      <c r="D206" s="2">
        <v>4.5</v>
      </c>
      <c r="E206" s="17" t="s">
        <v>11</v>
      </c>
      <c r="F206" s="3">
        <v>7</v>
      </c>
      <c r="G206" s="1">
        <f t="shared" si="24"/>
        <v>79</v>
      </c>
      <c r="H206" s="1" t="s">
        <v>4</v>
      </c>
      <c r="I206" s="1">
        <f t="shared" si="25"/>
        <v>85</v>
      </c>
      <c r="J206" s="12"/>
      <c r="K206"/>
    </row>
    <row r="207" spans="1:13" s="4" customFormat="1" ht="15" x14ac:dyDescent="0.25">
      <c r="A207" s="1">
        <v>30</v>
      </c>
      <c r="B207" t="s">
        <v>55</v>
      </c>
      <c r="C207" s="17">
        <v>6.1</v>
      </c>
      <c r="D207" s="2">
        <v>4.5999999999999996</v>
      </c>
      <c r="E207" s="17" t="s">
        <v>11</v>
      </c>
      <c r="F207" s="3">
        <v>7</v>
      </c>
      <c r="G207" s="1">
        <f t="shared" si="24"/>
        <v>86</v>
      </c>
      <c r="H207" s="1" t="s">
        <v>4</v>
      </c>
      <c r="I207" s="1">
        <f t="shared" si="25"/>
        <v>92</v>
      </c>
      <c r="J207" s="12"/>
      <c r="K207"/>
    </row>
    <row r="208" spans="1:13" s="4" customFormat="1" ht="15" x14ac:dyDescent="0.25">
      <c r="A208" s="1">
        <v>31</v>
      </c>
      <c r="B208" t="s">
        <v>99</v>
      </c>
      <c r="C208" s="17">
        <v>6.1</v>
      </c>
      <c r="D208" s="28" t="s">
        <v>62</v>
      </c>
      <c r="E208" s="17" t="s">
        <v>11</v>
      </c>
      <c r="F208" s="3">
        <v>7</v>
      </c>
      <c r="G208" s="1">
        <f t="shared" si="24"/>
        <v>93</v>
      </c>
      <c r="H208" s="1" t="s">
        <v>4</v>
      </c>
      <c r="I208" s="1">
        <f t="shared" si="25"/>
        <v>99</v>
      </c>
      <c r="J208" s="1"/>
      <c r="K208"/>
    </row>
    <row r="209" spans="1:11" s="4" customFormat="1" ht="15" x14ac:dyDescent="0.25">
      <c r="A209" s="1">
        <v>32</v>
      </c>
      <c r="B209" t="s">
        <v>60</v>
      </c>
      <c r="C209" s="17">
        <v>6.1</v>
      </c>
      <c r="D209" s="2">
        <v>5.0999999999999996</v>
      </c>
      <c r="E209" s="17" t="s">
        <v>11</v>
      </c>
      <c r="F209" s="3">
        <v>7</v>
      </c>
      <c r="G209" s="1">
        <f t="shared" si="24"/>
        <v>100</v>
      </c>
      <c r="H209" s="1" t="s">
        <v>4</v>
      </c>
      <c r="I209" s="1">
        <f t="shared" si="25"/>
        <v>106</v>
      </c>
      <c r="J209" s="1"/>
      <c r="K209"/>
    </row>
    <row r="210" spans="1:11" s="4" customFormat="1" ht="15" x14ac:dyDescent="0.25">
      <c r="A210" s="1">
        <v>33</v>
      </c>
      <c r="B210" t="s">
        <v>155</v>
      </c>
      <c r="C210" s="17">
        <v>6.1</v>
      </c>
      <c r="D210" s="2">
        <v>5.2</v>
      </c>
      <c r="E210" s="17" t="s">
        <v>11</v>
      </c>
      <c r="F210" s="3">
        <v>7</v>
      </c>
      <c r="G210" s="1">
        <f t="shared" si="24"/>
        <v>107</v>
      </c>
      <c r="H210" s="1" t="s">
        <v>4</v>
      </c>
      <c r="I210" s="1">
        <f t="shared" si="25"/>
        <v>113</v>
      </c>
      <c r="J210" s="1"/>
      <c r="K210"/>
    </row>
    <row r="211" spans="1:11" s="4" customFormat="1" ht="15" x14ac:dyDescent="0.25">
      <c r="A211" s="1">
        <v>34</v>
      </c>
      <c r="B211" t="s">
        <v>61</v>
      </c>
      <c r="C211" s="17">
        <v>6.1</v>
      </c>
      <c r="D211" s="28" t="s">
        <v>63</v>
      </c>
      <c r="E211" s="17" t="s">
        <v>11</v>
      </c>
      <c r="F211" s="3">
        <v>7</v>
      </c>
      <c r="G211" s="1">
        <f t="shared" si="24"/>
        <v>114</v>
      </c>
      <c r="H211" s="1" t="s">
        <v>4</v>
      </c>
      <c r="I211" s="1">
        <f t="shared" si="25"/>
        <v>120</v>
      </c>
      <c r="J211" s="1"/>
      <c r="K211"/>
    </row>
    <row r="212" spans="1:11" s="4" customFormat="1" ht="15" x14ac:dyDescent="0.25">
      <c r="A212" s="1">
        <v>35</v>
      </c>
      <c r="B212" t="s">
        <v>157</v>
      </c>
      <c r="C212" s="17">
        <v>6.1</v>
      </c>
      <c r="D212" s="2">
        <v>6.1</v>
      </c>
      <c r="E212" s="17" t="s">
        <v>11</v>
      </c>
      <c r="F212" s="3">
        <v>7</v>
      </c>
      <c r="G212" s="1">
        <f t="shared" si="24"/>
        <v>121</v>
      </c>
      <c r="H212" s="1" t="s">
        <v>4</v>
      </c>
      <c r="I212" s="1">
        <f t="shared" si="25"/>
        <v>127</v>
      </c>
      <c r="J212" s="1"/>
      <c r="K212"/>
    </row>
    <row r="213" spans="1:11" s="4" customFormat="1" ht="15" x14ac:dyDescent="0.25">
      <c r="A213" s="1">
        <v>36</v>
      </c>
      <c r="B213" t="s">
        <v>100</v>
      </c>
      <c r="C213" s="17">
        <v>6.1</v>
      </c>
      <c r="D213" s="2">
        <v>6.2</v>
      </c>
      <c r="E213" s="17" t="s">
        <v>11</v>
      </c>
      <c r="F213" s="3">
        <v>7</v>
      </c>
      <c r="G213" s="1">
        <f t="shared" si="24"/>
        <v>128</v>
      </c>
      <c r="H213" s="1" t="s">
        <v>4</v>
      </c>
      <c r="I213" s="1">
        <f t="shared" si="25"/>
        <v>134</v>
      </c>
      <c r="J213" s="1"/>
      <c r="K213"/>
    </row>
    <row r="214" spans="1:11" s="4" customFormat="1" ht="15" x14ac:dyDescent="0.25">
      <c r="A214" s="1">
        <v>37</v>
      </c>
      <c r="B214" t="s">
        <v>101</v>
      </c>
      <c r="C214" s="17">
        <v>6.1</v>
      </c>
      <c r="D214" s="2">
        <v>6.3</v>
      </c>
      <c r="E214" s="17" t="s">
        <v>11</v>
      </c>
      <c r="F214" s="3">
        <v>7</v>
      </c>
      <c r="G214" s="1">
        <f t="shared" si="24"/>
        <v>135</v>
      </c>
      <c r="H214" s="1" t="s">
        <v>4</v>
      </c>
      <c r="I214" s="1">
        <f t="shared" si="25"/>
        <v>141</v>
      </c>
      <c r="J214" s="1"/>
      <c r="K214"/>
    </row>
    <row r="215" spans="1:11" s="4" customFormat="1" ht="15" x14ac:dyDescent="0.25">
      <c r="A215" s="1">
        <v>38</v>
      </c>
      <c r="B215" t="s">
        <v>102</v>
      </c>
      <c r="C215" s="17">
        <v>6.1</v>
      </c>
      <c r="D215" s="2">
        <v>6.4</v>
      </c>
      <c r="E215" s="17" t="s">
        <v>11</v>
      </c>
      <c r="F215" s="3">
        <v>7</v>
      </c>
      <c r="G215" s="1">
        <f t="shared" si="24"/>
        <v>142</v>
      </c>
      <c r="H215" s="1" t="s">
        <v>4</v>
      </c>
      <c r="I215" s="1">
        <f t="shared" si="25"/>
        <v>148</v>
      </c>
      <c r="J215" s="1"/>
      <c r="K215"/>
    </row>
    <row r="216" spans="1:11" s="4" customFormat="1" ht="15" x14ac:dyDescent="0.25">
      <c r="A216" s="1">
        <v>39</v>
      </c>
      <c r="B216" t="s">
        <v>103</v>
      </c>
      <c r="C216" s="17">
        <v>6.1</v>
      </c>
      <c r="D216" s="16">
        <v>6.5</v>
      </c>
      <c r="E216" s="17" t="s">
        <v>11</v>
      </c>
      <c r="F216" s="3">
        <v>7</v>
      </c>
      <c r="G216" s="1">
        <f t="shared" si="24"/>
        <v>149</v>
      </c>
      <c r="H216" s="1" t="s">
        <v>4</v>
      </c>
      <c r="I216" s="1">
        <f t="shared" si="25"/>
        <v>155</v>
      </c>
      <c r="J216" s="1"/>
      <c r="K216"/>
    </row>
    <row r="217" spans="1:11" s="4" customFormat="1" ht="15" x14ac:dyDescent="0.25">
      <c r="A217" s="1">
        <v>40</v>
      </c>
      <c r="B217" t="s">
        <v>104</v>
      </c>
      <c r="C217" s="17">
        <v>6.1</v>
      </c>
      <c r="D217" s="16">
        <v>6.6</v>
      </c>
      <c r="E217" s="17" t="s">
        <v>11</v>
      </c>
      <c r="F217" s="3">
        <v>7</v>
      </c>
      <c r="G217" s="1">
        <f t="shared" si="24"/>
        <v>156</v>
      </c>
      <c r="H217" s="1" t="s">
        <v>4</v>
      </c>
      <c r="I217" s="1">
        <f t="shared" si="25"/>
        <v>162</v>
      </c>
      <c r="J217" s="1"/>
      <c r="K217"/>
    </row>
    <row r="218" spans="1:11" s="4" customFormat="1" ht="15" x14ac:dyDescent="0.25">
      <c r="A218" s="1">
        <v>41</v>
      </c>
      <c r="B218" t="s">
        <v>105</v>
      </c>
      <c r="C218" s="17">
        <v>6.1</v>
      </c>
      <c r="D218" s="2">
        <v>6.7</v>
      </c>
      <c r="E218" s="17" t="s">
        <v>11</v>
      </c>
      <c r="F218" s="3">
        <v>7</v>
      </c>
      <c r="G218" s="1">
        <f t="shared" si="24"/>
        <v>163</v>
      </c>
      <c r="H218" s="1" t="s">
        <v>4</v>
      </c>
      <c r="I218" s="1">
        <f t="shared" si="25"/>
        <v>169</v>
      </c>
      <c r="J218" s="1"/>
      <c r="K218"/>
    </row>
    <row r="219" spans="1:11" s="4" customFormat="1" ht="15" x14ac:dyDescent="0.25">
      <c r="A219" s="1">
        <v>42</v>
      </c>
      <c r="B219" t="s">
        <v>106</v>
      </c>
      <c r="C219" s="17">
        <v>6.1</v>
      </c>
      <c r="D219" s="2">
        <v>6.8</v>
      </c>
      <c r="E219" s="17" t="s">
        <v>11</v>
      </c>
      <c r="F219" s="3">
        <v>7</v>
      </c>
      <c r="G219" s="1">
        <f t="shared" si="24"/>
        <v>170</v>
      </c>
      <c r="H219" s="1" t="s">
        <v>4</v>
      </c>
      <c r="I219" s="1">
        <f t="shared" si="25"/>
        <v>176</v>
      </c>
      <c r="J219" s="1"/>
      <c r="K219"/>
    </row>
    <row r="220" spans="1:11" s="4" customFormat="1" ht="15" x14ac:dyDescent="0.25">
      <c r="A220" s="1">
        <v>43</v>
      </c>
      <c r="B220" t="s">
        <v>107</v>
      </c>
      <c r="C220" s="17">
        <v>6.1</v>
      </c>
      <c r="D220" s="28" t="s">
        <v>70</v>
      </c>
      <c r="E220" s="17" t="s">
        <v>11</v>
      </c>
      <c r="F220" s="3">
        <v>7</v>
      </c>
      <c r="G220" s="1">
        <f t="shared" si="24"/>
        <v>177</v>
      </c>
      <c r="H220" s="1" t="s">
        <v>4</v>
      </c>
      <c r="I220" s="1">
        <f t="shared" si="25"/>
        <v>183</v>
      </c>
      <c r="J220" s="1"/>
      <c r="K220"/>
    </row>
    <row r="221" spans="1:11" s="4" customFormat="1" ht="15" x14ac:dyDescent="0.25">
      <c r="A221" s="1">
        <v>44</v>
      </c>
      <c r="B221" t="s">
        <v>64</v>
      </c>
      <c r="C221" s="17">
        <v>6.1</v>
      </c>
      <c r="D221" s="2">
        <v>7.01</v>
      </c>
      <c r="E221" s="17" t="s">
        <v>11</v>
      </c>
      <c r="F221" s="3">
        <v>7</v>
      </c>
      <c r="G221" s="1">
        <f t="shared" si="24"/>
        <v>184</v>
      </c>
      <c r="H221" s="1" t="s">
        <v>4</v>
      </c>
      <c r="I221" s="1">
        <f t="shared" si="25"/>
        <v>190</v>
      </c>
      <c r="J221" s="1"/>
      <c r="K221"/>
    </row>
    <row r="222" spans="1:11" s="4" customFormat="1" ht="15" x14ac:dyDescent="0.25">
      <c r="A222" s="1">
        <v>45</v>
      </c>
      <c r="B222" t="s">
        <v>108</v>
      </c>
      <c r="C222" s="17">
        <v>6.1</v>
      </c>
      <c r="D222" s="2">
        <v>7.02</v>
      </c>
      <c r="E222" s="17" t="s">
        <v>11</v>
      </c>
      <c r="F222" s="3">
        <v>7</v>
      </c>
      <c r="G222" s="1">
        <f t="shared" si="24"/>
        <v>191</v>
      </c>
      <c r="H222" s="1" t="s">
        <v>4</v>
      </c>
      <c r="I222" s="1">
        <f t="shared" si="25"/>
        <v>197</v>
      </c>
      <c r="J222" s="1"/>
      <c r="K222"/>
    </row>
    <row r="223" spans="1:11" s="4" customFormat="1" ht="15" x14ac:dyDescent="0.25">
      <c r="A223" s="1">
        <v>46</v>
      </c>
      <c r="B223" t="s">
        <v>109</v>
      </c>
      <c r="C223" s="17">
        <v>6.1</v>
      </c>
      <c r="D223" s="2">
        <v>7.03</v>
      </c>
      <c r="E223" s="17" t="s">
        <v>11</v>
      </c>
      <c r="F223" s="3">
        <v>7</v>
      </c>
      <c r="G223" s="1">
        <f t="shared" si="24"/>
        <v>198</v>
      </c>
      <c r="H223" s="1" t="s">
        <v>4</v>
      </c>
      <c r="I223" s="1">
        <f t="shared" si="25"/>
        <v>204</v>
      </c>
      <c r="J223" s="1"/>
      <c r="K223"/>
    </row>
    <row r="224" spans="1:11" s="4" customFormat="1" ht="15" x14ac:dyDescent="0.25">
      <c r="A224" s="1">
        <v>47</v>
      </c>
      <c r="B224" t="s">
        <v>65</v>
      </c>
      <c r="C224" s="17">
        <v>6.1</v>
      </c>
      <c r="D224" s="2">
        <v>7.04</v>
      </c>
      <c r="E224" s="17" t="s">
        <v>11</v>
      </c>
      <c r="F224" s="3">
        <v>7</v>
      </c>
      <c r="G224" s="1">
        <f t="shared" si="24"/>
        <v>205</v>
      </c>
      <c r="H224" s="1" t="s">
        <v>4</v>
      </c>
      <c r="I224" s="1">
        <f t="shared" si="25"/>
        <v>211</v>
      </c>
      <c r="J224" s="1"/>
      <c r="K224"/>
    </row>
    <row r="225" spans="1:11" s="4" customFormat="1" ht="15" x14ac:dyDescent="0.25">
      <c r="A225" s="1">
        <v>48</v>
      </c>
      <c r="B225" t="s">
        <v>66</v>
      </c>
      <c r="C225" s="17">
        <v>6.1</v>
      </c>
      <c r="D225" s="2">
        <v>7.05</v>
      </c>
      <c r="E225" s="17" t="s">
        <v>11</v>
      </c>
      <c r="F225" s="3">
        <v>7</v>
      </c>
      <c r="G225" s="1">
        <f t="shared" si="24"/>
        <v>212</v>
      </c>
      <c r="H225" s="1" t="s">
        <v>4</v>
      </c>
      <c r="I225" s="1">
        <f t="shared" si="25"/>
        <v>218</v>
      </c>
      <c r="J225" s="12"/>
      <c r="K225"/>
    </row>
    <row r="226" spans="1:11" s="4" customFormat="1" ht="15" x14ac:dyDescent="0.25">
      <c r="A226" s="1">
        <v>49</v>
      </c>
      <c r="B226" t="s">
        <v>67</v>
      </c>
      <c r="C226" s="17">
        <v>6.1</v>
      </c>
      <c r="D226" s="2">
        <v>7.06</v>
      </c>
      <c r="E226" s="17" t="s">
        <v>11</v>
      </c>
      <c r="F226" s="3">
        <v>7</v>
      </c>
      <c r="G226" s="1">
        <f t="shared" si="24"/>
        <v>219</v>
      </c>
      <c r="H226" s="1" t="s">
        <v>4</v>
      </c>
      <c r="I226" s="1">
        <f t="shared" si="25"/>
        <v>225</v>
      </c>
      <c r="J226" s="12"/>
      <c r="K226"/>
    </row>
    <row r="227" spans="1:11" s="4" customFormat="1" ht="15" x14ac:dyDescent="0.25">
      <c r="A227" s="1">
        <v>50</v>
      </c>
      <c r="B227" t="s">
        <v>68</v>
      </c>
      <c r="C227" s="17">
        <v>6.1</v>
      </c>
      <c r="D227" s="2">
        <v>7.07</v>
      </c>
      <c r="E227" s="17" t="s">
        <v>11</v>
      </c>
      <c r="F227" s="3">
        <v>7</v>
      </c>
      <c r="G227" s="1">
        <f t="shared" si="24"/>
        <v>226</v>
      </c>
      <c r="H227" s="1" t="s">
        <v>4</v>
      </c>
      <c r="I227" s="1">
        <f t="shared" si="25"/>
        <v>232</v>
      </c>
      <c r="J227" s="1"/>
      <c r="K227"/>
    </row>
    <row r="228" spans="1:11" s="4" customFormat="1" ht="15" x14ac:dyDescent="0.25">
      <c r="A228" s="1">
        <v>51</v>
      </c>
      <c r="B228" t="s">
        <v>110</v>
      </c>
      <c r="C228" s="17">
        <v>6.1</v>
      </c>
      <c r="D228" s="2">
        <v>7.08</v>
      </c>
      <c r="E228" s="17" t="s">
        <v>11</v>
      </c>
      <c r="F228" s="3">
        <v>7</v>
      </c>
      <c r="G228" s="1">
        <f t="shared" si="24"/>
        <v>233</v>
      </c>
      <c r="H228" s="1" t="s">
        <v>4</v>
      </c>
      <c r="I228" s="1">
        <f t="shared" si="25"/>
        <v>239</v>
      </c>
      <c r="J228" s="1"/>
      <c r="K228"/>
    </row>
    <row r="229" spans="1:11" s="4" customFormat="1" ht="15" x14ac:dyDescent="0.25">
      <c r="A229" s="1">
        <v>52</v>
      </c>
      <c r="B229" t="s">
        <v>111</v>
      </c>
      <c r="C229" s="17">
        <v>6.1</v>
      </c>
      <c r="D229" s="29">
        <v>7.09</v>
      </c>
      <c r="E229" s="17" t="s">
        <v>11</v>
      </c>
      <c r="F229" s="3">
        <v>7</v>
      </c>
      <c r="G229" s="1">
        <f t="shared" si="24"/>
        <v>240</v>
      </c>
      <c r="H229" s="1" t="s">
        <v>4</v>
      </c>
      <c r="I229" s="1">
        <f t="shared" si="25"/>
        <v>246</v>
      </c>
      <c r="J229" s="1"/>
      <c r="K229"/>
    </row>
    <row r="230" spans="1:11" s="4" customFormat="1" ht="15" x14ac:dyDescent="0.25">
      <c r="A230" s="1">
        <v>53</v>
      </c>
      <c r="B230" t="s">
        <v>112</v>
      </c>
      <c r="C230" s="17">
        <v>6.1</v>
      </c>
      <c r="D230" s="29" t="s">
        <v>84</v>
      </c>
      <c r="E230" s="17" t="s">
        <v>11</v>
      </c>
      <c r="F230" s="3">
        <v>7</v>
      </c>
      <c r="G230" s="1">
        <f t="shared" si="24"/>
        <v>247</v>
      </c>
      <c r="H230" s="1" t="s">
        <v>4</v>
      </c>
      <c r="I230" s="1">
        <f t="shared" si="25"/>
        <v>253</v>
      </c>
      <c r="J230" s="1"/>
      <c r="K230"/>
    </row>
    <row r="231" spans="1:11" s="4" customFormat="1" ht="15" x14ac:dyDescent="0.25">
      <c r="A231" s="1">
        <v>54</v>
      </c>
      <c r="B231" t="s">
        <v>113</v>
      </c>
      <c r="C231" s="17">
        <v>6.1</v>
      </c>
      <c r="D231" s="29" t="s">
        <v>69</v>
      </c>
      <c r="E231" s="17" t="s">
        <v>11</v>
      </c>
      <c r="F231" s="3">
        <v>7</v>
      </c>
      <c r="G231" s="1">
        <f t="shared" si="24"/>
        <v>254</v>
      </c>
      <c r="H231" s="1" t="s">
        <v>4</v>
      </c>
      <c r="I231" s="1">
        <f t="shared" si="25"/>
        <v>260</v>
      </c>
      <c r="J231" s="1"/>
      <c r="K231"/>
    </row>
    <row r="232" spans="1:11" s="4" customFormat="1" ht="15" x14ac:dyDescent="0.25">
      <c r="A232" s="1">
        <v>55</v>
      </c>
      <c r="B232" t="s">
        <v>114</v>
      </c>
      <c r="C232" s="17">
        <v>6.1</v>
      </c>
      <c r="D232" s="2">
        <v>8.1</v>
      </c>
      <c r="E232" s="17" t="s">
        <v>11</v>
      </c>
      <c r="F232" s="3">
        <v>7</v>
      </c>
      <c r="G232" s="1">
        <f t="shared" si="24"/>
        <v>261</v>
      </c>
      <c r="H232" s="1" t="s">
        <v>4</v>
      </c>
      <c r="I232" s="1">
        <f t="shared" si="25"/>
        <v>267</v>
      </c>
      <c r="J232" s="1"/>
      <c r="K232"/>
    </row>
    <row r="233" spans="1:11" s="4" customFormat="1" ht="15" x14ac:dyDescent="0.25">
      <c r="A233" s="1">
        <v>56</v>
      </c>
      <c r="B233" t="s">
        <v>115</v>
      </c>
      <c r="C233" s="17">
        <v>6.1</v>
      </c>
      <c r="D233" s="2">
        <v>8.1999999999999993</v>
      </c>
      <c r="E233" s="17" t="s">
        <v>11</v>
      </c>
      <c r="F233" s="3">
        <v>7</v>
      </c>
      <c r="G233" s="1">
        <f t="shared" si="24"/>
        <v>268</v>
      </c>
      <c r="H233" s="1" t="s">
        <v>4</v>
      </c>
      <c r="I233" s="1">
        <f t="shared" si="25"/>
        <v>274</v>
      </c>
      <c r="J233" s="1"/>
      <c r="K233"/>
    </row>
    <row r="234" spans="1:11" s="4" customFormat="1" ht="15" x14ac:dyDescent="0.25">
      <c r="A234" s="1">
        <v>57</v>
      </c>
      <c r="B234" t="s">
        <v>116</v>
      </c>
      <c r="C234" s="17">
        <v>6.1</v>
      </c>
      <c r="D234" s="2">
        <v>8.3000000000000007</v>
      </c>
      <c r="E234" s="17" t="s">
        <v>11</v>
      </c>
      <c r="F234" s="3">
        <v>7</v>
      </c>
      <c r="G234" s="1">
        <f t="shared" si="24"/>
        <v>275</v>
      </c>
      <c r="H234" s="1" t="s">
        <v>4</v>
      </c>
      <c r="I234" s="1">
        <f t="shared" si="25"/>
        <v>281</v>
      </c>
      <c r="J234" s="1"/>
      <c r="K234"/>
    </row>
    <row r="235" spans="1:11" s="4" customFormat="1" ht="15" x14ac:dyDescent="0.25">
      <c r="A235" s="1">
        <v>58</v>
      </c>
      <c r="B235" t="s">
        <v>117</v>
      </c>
      <c r="C235" s="17">
        <v>6.1</v>
      </c>
      <c r="D235" s="16">
        <v>8.4</v>
      </c>
      <c r="E235" s="17" t="s">
        <v>11</v>
      </c>
      <c r="F235" s="3">
        <v>7</v>
      </c>
      <c r="G235" s="1">
        <f t="shared" si="24"/>
        <v>282</v>
      </c>
      <c r="H235" s="1" t="s">
        <v>4</v>
      </c>
      <c r="I235" s="1">
        <f t="shared" si="25"/>
        <v>288</v>
      </c>
      <c r="J235" s="1"/>
      <c r="K235"/>
    </row>
    <row r="236" spans="1:11" s="4" customFormat="1" ht="15" x14ac:dyDescent="0.25">
      <c r="A236" s="1">
        <v>59</v>
      </c>
      <c r="B236" t="s">
        <v>118</v>
      </c>
      <c r="C236" s="17">
        <v>6.1</v>
      </c>
      <c r="D236" s="16" t="s">
        <v>71</v>
      </c>
      <c r="E236" s="17" t="s">
        <v>11</v>
      </c>
      <c r="F236" s="3">
        <v>7</v>
      </c>
      <c r="G236" s="1">
        <f t="shared" si="24"/>
        <v>289</v>
      </c>
      <c r="H236" s="1" t="s">
        <v>4</v>
      </c>
      <c r="I236" s="1">
        <f t="shared" si="25"/>
        <v>295</v>
      </c>
      <c r="J236" s="1"/>
      <c r="K236"/>
    </row>
    <row r="237" spans="1:11" s="4" customFormat="1" ht="15" x14ac:dyDescent="0.25">
      <c r="A237" s="1">
        <v>60</v>
      </c>
      <c r="B237" t="s">
        <v>119</v>
      </c>
      <c r="C237" s="17">
        <v>6.1</v>
      </c>
      <c r="D237" s="2" t="s">
        <v>72</v>
      </c>
      <c r="E237" s="17" t="s">
        <v>11</v>
      </c>
      <c r="F237" s="3">
        <v>7</v>
      </c>
      <c r="G237" s="1">
        <f t="shared" si="24"/>
        <v>296</v>
      </c>
      <c r="H237" s="1" t="s">
        <v>4</v>
      </c>
      <c r="I237" s="1">
        <f t="shared" si="25"/>
        <v>302</v>
      </c>
      <c r="J237" s="1"/>
      <c r="K237"/>
    </row>
    <row r="238" spans="1:11" s="4" customFormat="1" ht="15" x14ac:dyDescent="0.25">
      <c r="A238" s="1">
        <v>61</v>
      </c>
      <c r="B238" t="s">
        <v>120</v>
      </c>
      <c r="C238" s="17">
        <v>6.1</v>
      </c>
      <c r="D238" s="2" t="s">
        <v>73</v>
      </c>
      <c r="E238" s="17" t="s">
        <v>11</v>
      </c>
      <c r="F238" s="3">
        <v>7</v>
      </c>
      <c r="G238" s="1">
        <f t="shared" si="24"/>
        <v>303</v>
      </c>
      <c r="H238" s="1" t="s">
        <v>4</v>
      </c>
      <c r="I238" s="1">
        <f t="shared" si="25"/>
        <v>309</v>
      </c>
      <c r="J238" s="1"/>
      <c r="K238"/>
    </row>
    <row r="239" spans="1:11" s="4" customFormat="1" ht="15" x14ac:dyDescent="0.25">
      <c r="A239" s="1">
        <v>62</v>
      </c>
      <c r="B239" t="s">
        <v>121</v>
      </c>
      <c r="C239" s="17">
        <v>6.1</v>
      </c>
      <c r="D239" s="2" t="s">
        <v>74</v>
      </c>
      <c r="E239" s="17" t="s">
        <v>11</v>
      </c>
      <c r="F239" s="3">
        <v>7</v>
      </c>
      <c r="G239" s="1">
        <f t="shared" si="24"/>
        <v>310</v>
      </c>
      <c r="H239" s="1" t="s">
        <v>4</v>
      </c>
      <c r="I239" s="1">
        <f t="shared" si="25"/>
        <v>316</v>
      </c>
      <c r="J239" s="1"/>
      <c r="K239"/>
    </row>
    <row r="240" spans="1:11" s="4" customFormat="1" ht="15" x14ac:dyDescent="0.25">
      <c r="A240" s="1">
        <v>63</v>
      </c>
      <c r="B240" t="s">
        <v>122</v>
      </c>
      <c r="C240" s="17">
        <v>6.1</v>
      </c>
      <c r="D240" s="28" t="s">
        <v>75</v>
      </c>
      <c r="E240" s="17" t="s">
        <v>11</v>
      </c>
      <c r="F240" s="3">
        <v>7</v>
      </c>
      <c r="G240" s="1">
        <f t="shared" si="24"/>
        <v>317</v>
      </c>
      <c r="H240" s="1" t="s">
        <v>4</v>
      </c>
      <c r="I240" s="1">
        <f t="shared" si="25"/>
        <v>323</v>
      </c>
      <c r="J240" s="1"/>
      <c r="K240"/>
    </row>
    <row r="241" spans="1:11" s="4" customFormat="1" ht="15" x14ac:dyDescent="0.25">
      <c r="A241" s="1">
        <v>64</v>
      </c>
      <c r="B241" t="s">
        <v>55</v>
      </c>
      <c r="C241" s="17">
        <v>6.1</v>
      </c>
      <c r="D241" s="2">
        <v>9</v>
      </c>
      <c r="E241" s="17" t="s">
        <v>11</v>
      </c>
      <c r="F241" s="3">
        <v>7</v>
      </c>
      <c r="G241" s="1">
        <f t="shared" si="24"/>
        <v>324</v>
      </c>
      <c r="H241" s="1" t="s">
        <v>4</v>
      </c>
      <c r="I241" s="1">
        <f t="shared" si="25"/>
        <v>330</v>
      </c>
      <c r="J241" s="1"/>
      <c r="K241"/>
    </row>
    <row r="242" spans="1:11" s="4" customFormat="1" ht="15" x14ac:dyDescent="0.25">
      <c r="A242" s="1">
        <v>65</v>
      </c>
      <c r="B242" t="s">
        <v>76</v>
      </c>
      <c r="C242" s="17">
        <v>6.1</v>
      </c>
      <c r="D242" s="2">
        <v>10</v>
      </c>
      <c r="E242" s="17" t="s">
        <v>11</v>
      </c>
      <c r="F242" s="3">
        <v>7</v>
      </c>
      <c r="G242" s="1">
        <f t="shared" si="24"/>
        <v>331</v>
      </c>
      <c r="H242" s="1" t="s">
        <v>4</v>
      </c>
      <c r="I242" s="1">
        <f t="shared" si="25"/>
        <v>337</v>
      </c>
      <c r="J242" s="1"/>
      <c r="K242"/>
    </row>
    <row r="243" spans="1:11" s="4" customFormat="1" ht="15" x14ac:dyDescent="0.25">
      <c r="A243" s="1">
        <v>66</v>
      </c>
      <c r="B243" t="s">
        <v>77</v>
      </c>
      <c r="C243" s="17">
        <v>6.1</v>
      </c>
      <c r="D243" s="2">
        <v>11</v>
      </c>
      <c r="E243" s="17" t="s">
        <v>11</v>
      </c>
      <c r="F243" s="3">
        <v>8</v>
      </c>
      <c r="G243" s="1">
        <f t="shared" si="24"/>
        <v>338</v>
      </c>
      <c r="H243" s="1" t="s">
        <v>4</v>
      </c>
      <c r="I243" s="1">
        <f t="shared" si="25"/>
        <v>345</v>
      </c>
      <c r="J243" s="1"/>
      <c r="K243"/>
    </row>
    <row r="244" spans="1:11" s="4" customFormat="1" ht="15" x14ac:dyDescent="0.25">
      <c r="A244" s="1">
        <v>67</v>
      </c>
      <c r="B244" t="s">
        <v>123</v>
      </c>
      <c r="C244" s="17">
        <v>6.1</v>
      </c>
      <c r="D244" s="2">
        <v>12</v>
      </c>
      <c r="E244" s="17" t="s">
        <v>11</v>
      </c>
      <c r="F244" s="3">
        <v>1</v>
      </c>
      <c r="G244" s="1">
        <f t="shared" si="24"/>
        <v>346</v>
      </c>
      <c r="H244" s="1" t="s">
        <v>4</v>
      </c>
      <c r="I244" s="1">
        <f t="shared" si="25"/>
        <v>346</v>
      </c>
      <c r="J244" s="1"/>
      <c r="K244"/>
    </row>
    <row r="245" spans="1:11" s="4" customFormat="1" ht="15" x14ac:dyDescent="0.25">
      <c r="A245" s="1">
        <v>68</v>
      </c>
      <c r="B245" t="s">
        <v>124</v>
      </c>
      <c r="C245" s="17">
        <v>6.1</v>
      </c>
      <c r="D245" s="2">
        <v>13</v>
      </c>
      <c r="E245" s="17" t="s">
        <v>11</v>
      </c>
      <c r="F245" s="3">
        <v>8</v>
      </c>
      <c r="G245" s="1">
        <f t="shared" si="24"/>
        <v>347</v>
      </c>
      <c r="H245" s="1" t="s">
        <v>4</v>
      </c>
      <c r="I245" s="1">
        <f t="shared" si="25"/>
        <v>354</v>
      </c>
      <c r="J245" s="1"/>
      <c r="K245"/>
    </row>
    <row r="246" spans="1:11" s="4" customFormat="1" ht="15" x14ac:dyDescent="0.25">
      <c r="A246" s="1">
        <v>69</v>
      </c>
      <c r="B246" t="s">
        <v>125</v>
      </c>
      <c r="C246" s="17">
        <v>6.1</v>
      </c>
      <c r="D246" s="2">
        <v>14</v>
      </c>
      <c r="E246" s="17" t="s">
        <v>11</v>
      </c>
      <c r="F246" s="3">
        <v>1</v>
      </c>
      <c r="G246" s="1">
        <f t="shared" si="24"/>
        <v>355</v>
      </c>
      <c r="H246" s="1" t="s">
        <v>4</v>
      </c>
      <c r="I246" s="1">
        <f t="shared" si="25"/>
        <v>355</v>
      </c>
      <c r="J246" s="12"/>
      <c r="K246"/>
    </row>
    <row r="247" spans="1:11" s="4" customFormat="1" ht="15" x14ac:dyDescent="0.25">
      <c r="A247" s="1">
        <v>70</v>
      </c>
      <c r="B247" t="s">
        <v>124</v>
      </c>
      <c r="C247" s="17">
        <v>6.1</v>
      </c>
      <c r="D247" s="2">
        <v>15</v>
      </c>
      <c r="E247" s="17" t="s">
        <v>11</v>
      </c>
      <c r="F247" s="3">
        <v>8</v>
      </c>
      <c r="G247" s="1">
        <f t="shared" si="24"/>
        <v>356</v>
      </c>
      <c r="H247" s="1" t="s">
        <v>4</v>
      </c>
      <c r="I247" s="1">
        <f t="shared" si="25"/>
        <v>363</v>
      </c>
      <c r="J247" s="12"/>
      <c r="K247"/>
    </row>
    <row r="248" spans="1:11" s="4" customFormat="1" ht="15" x14ac:dyDescent="0.25">
      <c r="A248" s="1">
        <v>71</v>
      </c>
      <c r="B248" t="s">
        <v>126</v>
      </c>
      <c r="C248" s="17">
        <v>6.1</v>
      </c>
      <c r="D248" s="2">
        <v>16.100000000000001</v>
      </c>
      <c r="E248" s="17" t="s">
        <v>11</v>
      </c>
      <c r="F248" s="3">
        <v>1</v>
      </c>
      <c r="G248" s="1">
        <f t="shared" si="24"/>
        <v>364</v>
      </c>
      <c r="H248" s="1" t="s">
        <v>4</v>
      </c>
      <c r="I248" s="1">
        <f t="shared" si="25"/>
        <v>364</v>
      </c>
      <c r="J248" s="1"/>
      <c r="K248"/>
    </row>
    <row r="249" spans="1:11" s="4" customFormat="1" ht="15" x14ac:dyDescent="0.25">
      <c r="A249" s="1">
        <v>72</v>
      </c>
      <c r="B249" t="s">
        <v>127</v>
      </c>
      <c r="C249" s="17">
        <v>6.1</v>
      </c>
      <c r="D249" s="2">
        <v>16.2</v>
      </c>
      <c r="E249" s="17" t="s">
        <v>11</v>
      </c>
      <c r="F249" s="3">
        <v>1</v>
      </c>
      <c r="G249" s="1">
        <f t="shared" si="24"/>
        <v>365</v>
      </c>
      <c r="H249" s="1" t="s">
        <v>4</v>
      </c>
      <c r="I249" s="1">
        <f t="shared" si="25"/>
        <v>365</v>
      </c>
      <c r="J249" s="1"/>
      <c r="K249"/>
    </row>
    <row r="250" spans="1:11" s="4" customFormat="1" ht="15" x14ac:dyDescent="0.25">
      <c r="A250" s="1">
        <v>73</v>
      </c>
      <c r="B250" t="s">
        <v>128</v>
      </c>
      <c r="C250" s="17">
        <v>6.1</v>
      </c>
      <c r="D250" s="2">
        <v>16.3</v>
      </c>
      <c r="E250" s="17" t="s">
        <v>11</v>
      </c>
      <c r="F250" s="3">
        <v>1</v>
      </c>
      <c r="G250" s="1">
        <f t="shared" si="24"/>
        <v>366</v>
      </c>
      <c r="H250" s="1" t="s">
        <v>4</v>
      </c>
      <c r="I250" s="1">
        <f t="shared" si="25"/>
        <v>366</v>
      </c>
      <c r="J250" s="1"/>
      <c r="K250"/>
    </row>
    <row r="251" spans="1:11" s="4" customFormat="1" ht="15" x14ac:dyDescent="0.25">
      <c r="A251" s="1">
        <v>74</v>
      </c>
      <c r="B251" t="s">
        <v>129</v>
      </c>
      <c r="C251" s="17">
        <v>6.1</v>
      </c>
      <c r="D251" s="16">
        <v>16.399999999999999</v>
      </c>
      <c r="E251" s="17" t="s">
        <v>11</v>
      </c>
      <c r="F251" s="3">
        <v>1</v>
      </c>
      <c r="G251" s="1">
        <f t="shared" si="24"/>
        <v>367</v>
      </c>
      <c r="H251" s="1" t="s">
        <v>4</v>
      </c>
      <c r="I251" s="1">
        <f t="shared" si="25"/>
        <v>367</v>
      </c>
      <c r="J251" s="1"/>
      <c r="K251"/>
    </row>
    <row r="252" spans="1:11" s="4" customFormat="1" ht="15" x14ac:dyDescent="0.25">
      <c r="A252" s="1">
        <v>75</v>
      </c>
      <c r="B252" t="s">
        <v>130</v>
      </c>
      <c r="C252" s="17">
        <v>6.1</v>
      </c>
      <c r="D252" s="16">
        <v>16.5</v>
      </c>
      <c r="E252" s="17" t="s">
        <v>11</v>
      </c>
      <c r="F252" s="3">
        <v>1</v>
      </c>
      <c r="G252" s="1">
        <f t="shared" si="24"/>
        <v>368</v>
      </c>
      <c r="H252" s="1" t="s">
        <v>4</v>
      </c>
      <c r="I252" s="1">
        <f t="shared" si="25"/>
        <v>368</v>
      </c>
      <c r="J252" s="1"/>
      <c r="K252"/>
    </row>
    <row r="253" spans="1:11" s="4" customFormat="1" ht="15" x14ac:dyDescent="0.25">
      <c r="A253" s="1">
        <v>76</v>
      </c>
      <c r="B253" s="4" t="s">
        <v>96</v>
      </c>
      <c r="C253" s="1"/>
      <c r="D253" s="2"/>
      <c r="E253" s="21"/>
      <c r="F253" s="3">
        <v>10</v>
      </c>
      <c r="G253" s="1">
        <f t="shared" si="24"/>
        <v>369</v>
      </c>
      <c r="H253" s="1" t="s">
        <v>4</v>
      </c>
      <c r="I253" s="1">
        <f t="shared" si="25"/>
        <v>378</v>
      </c>
      <c r="J253" s="1"/>
      <c r="K253"/>
    </row>
    <row r="254" spans="1:11" s="4" customFormat="1" ht="15" x14ac:dyDescent="0.25">
      <c r="B254" s="1"/>
      <c r="C254" s="1"/>
      <c r="D254" s="2"/>
      <c r="E254" s="21"/>
      <c r="F254" s="1"/>
      <c r="G254" s="1"/>
      <c r="H254" s="1"/>
      <c r="I254" s="1"/>
      <c r="J254" s="1"/>
      <c r="K254"/>
    </row>
    <row r="255" spans="1:11" s="4" customFormat="1" ht="15" x14ac:dyDescent="0.25">
      <c r="A255" s="5"/>
      <c r="C255" s="1"/>
      <c r="D255" s="2"/>
      <c r="E255" s="21"/>
      <c r="F255" s="1"/>
      <c r="G255" s="22"/>
      <c r="H255" s="22"/>
      <c r="I255" s="22"/>
      <c r="J255" s="1"/>
      <c r="K255"/>
    </row>
    <row r="256" spans="1:11" s="4" customFormat="1" ht="15" x14ac:dyDescent="0.25">
      <c r="B256" s="7" t="s">
        <v>142</v>
      </c>
      <c r="C256" s="22"/>
      <c r="D256" s="24"/>
      <c r="E256" s="22"/>
      <c r="F256" s="22"/>
      <c r="G256" s="1"/>
      <c r="H256" s="1"/>
      <c r="I256" s="12"/>
      <c r="J256" s="1"/>
      <c r="K256"/>
    </row>
    <row r="257" spans="1:11" s="4" customFormat="1" ht="15" x14ac:dyDescent="0.25">
      <c r="A257" s="5"/>
      <c r="B257" s="5"/>
      <c r="C257" s="22"/>
      <c r="D257" s="24"/>
      <c r="E257" s="22"/>
      <c r="F257" s="22"/>
      <c r="G257" s="1"/>
      <c r="H257" s="1"/>
      <c r="I257" s="1"/>
      <c r="J257" s="12"/>
      <c r="K257"/>
    </row>
    <row r="258" spans="1:11" s="4" customFormat="1" ht="15" customHeight="1" x14ac:dyDescent="0.25">
      <c r="A258" s="39" t="s">
        <v>30</v>
      </c>
      <c r="B258" s="41" t="s">
        <v>31</v>
      </c>
      <c r="C258" s="35" t="s">
        <v>32</v>
      </c>
      <c r="D258" s="35"/>
      <c r="E258" s="35"/>
      <c r="F258" s="35" t="s">
        <v>36</v>
      </c>
      <c r="G258" s="35" t="s">
        <v>33</v>
      </c>
      <c r="H258" s="35"/>
      <c r="I258" s="36"/>
      <c r="J258" s="35" t="s">
        <v>1</v>
      </c>
    </row>
    <row r="259" spans="1:11" s="4" customFormat="1" ht="15" x14ac:dyDescent="0.25">
      <c r="A259" s="40"/>
      <c r="B259" s="41"/>
      <c r="C259" s="14" t="s">
        <v>34</v>
      </c>
      <c r="D259" s="13" t="s">
        <v>0</v>
      </c>
      <c r="E259" s="13" t="s">
        <v>35</v>
      </c>
      <c r="F259" s="35"/>
      <c r="G259" s="35"/>
      <c r="H259" s="35"/>
      <c r="I259" s="36"/>
      <c r="J259" s="35"/>
    </row>
    <row r="260" spans="1:11" s="4" customFormat="1" ht="15" x14ac:dyDescent="0.25">
      <c r="A260" s="1">
        <v>1</v>
      </c>
      <c r="B260" t="s">
        <v>2</v>
      </c>
      <c r="C260" s="1">
        <v>1</v>
      </c>
      <c r="D260" s="2">
        <v>9</v>
      </c>
      <c r="E260" s="1"/>
      <c r="F260" s="3">
        <v>2</v>
      </c>
      <c r="G260" s="1">
        <v>1</v>
      </c>
      <c r="H260" s="1" t="s">
        <v>4</v>
      </c>
      <c r="I260" s="1">
        <f>F260</f>
        <v>2</v>
      </c>
      <c r="J260" s="1" t="s">
        <v>93</v>
      </c>
    </row>
    <row r="261" spans="1:11" s="4" customFormat="1" ht="15" x14ac:dyDescent="0.25">
      <c r="A261" s="1">
        <v>2</v>
      </c>
      <c r="B261" t="s">
        <v>3</v>
      </c>
      <c r="C261" s="1">
        <v>1</v>
      </c>
      <c r="D261" s="2">
        <v>10</v>
      </c>
      <c r="E261" s="1"/>
      <c r="F261" s="3">
        <v>3</v>
      </c>
      <c r="G261" s="1">
        <f>I260+1</f>
        <v>3</v>
      </c>
      <c r="H261" s="1" t="s">
        <v>4</v>
      </c>
      <c r="I261" s="1">
        <f>I260+F261</f>
        <v>5</v>
      </c>
      <c r="J261" s="1" t="s">
        <v>42</v>
      </c>
    </row>
    <row r="262" spans="1:11" s="4" customFormat="1" ht="15" x14ac:dyDescent="0.25">
      <c r="A262" s="1">
        <v>3</v>
      </c>
      <c r="B262" t="s">
        <v>28</v>
      </c>
      <c r="C262" s="1">
        <v>1</v>
      </c>
      <c r="D262" s="2">
        <v>11</v>
      </c>
      <c r="E262" s="1"/>
      <c r="F262" s="3">
        <v>5</v>
      </c>
      <c r="G262" s="1">
        <f>I261+1</f>
        <v>6</v>
      </c>
      <c r="H262" s="1" t="s">
        <v>4</v>
      </c>
      <c r="I262" s="1">
        <f>I261+F262</f>
        <v>10</v>
      </c>
      <c r="J262" s="1"/>
    </row>
    <row r="263" spans="1:11" s="4" customFormat="1" ht="15" x14ac:dyDescent="0.25">
      <c r="A263" s="1">
        <v>4</v>
      </c>
      <c r="B263" t="s">
        <v>161</v>
      </c>
      <c r="C263" s="1">
        <v>1</v>
      </c>
      <c r="D263" s="2">
        <v>2</v>
      </c>
      <c r="E263" s="1"/>
      <c r="F263" s="3">
        <v>1</v>
      </c>
      <c r="G263" s="1">
        <f>I262+1</f>
        <v>11</v>
      </c>
      <c r="H263" s="1" t="s">
        <v>4</v>
      </c>
      <c r="I263" s="1">
        <f>I262+F263</f>
        <v>11</v>
      </c>
      <c r="J263" s="1"/>
    </row>
    <row r="264" spans="1:11" s="4" customFormat="1" ht="15" x14ac:dyDescent="0.25">
      <c r="A264" s="1">
        <v>5</v>
      </c>
      <c r="B264" t="s">
        <v>5</v>
      </c>
      <c r="C264" s="1">
        <v>1</v>
      </c>
      <c r="D264" s="2">
        <v>1</v>
      </c>
      <c r="E264" s="1"/>
      <c r="F264" s="3">
        <v>1</v>
      </c>
      <c r="G264" s="1">
        <f>I263+1</f>
        <v>12</v>
      </c>
      <c r="H264" s="1" t="s">
        <v>4</v>
      </c>
      <c r="I264" s="1">
        <f>I263+F264</f>
        <v>12</v>
      </c>
      <c r="J264" s="1"/>
    </row>
    <row r="265" spans="1:11" s="4" customFormat="1" ht="15" x14ac:dyDescent="0.25">
      <c r="A265" s="1">
        <v>6</v>
      </c>
      <c r="B265" t="s">
        <v>86</v>
      </c>
      <c r="C265" s="1">
        <v>1</v>
      </c>
      <c r="D265" s="2">
        <v>3</v>
      </c>
      <c r="E265" s="1"/>
      <c r="F265" s="3">
        <v>2</v>
      </c>
      <c r="G265" s="1">
        <f>I264+1</f>
        <v>13</v>
      </c>
      <c r="H265" s="1" t="s">
        <v>4</v>
      </c>
      <c r="I265" s="1">
        <f>I264+F265</f>
        <v>14</v>
      </c>
      <c r="J265" s="1"/>
    </row>
    <row r="266" spans="1:11" s="4" customFormat="1" ht="15" x14ac:dyDescent="0.25">
      <c r="A266" s="1">
        <v>7</v>
      </c>
      <c r="B266" t="s">
        <v>38</v>
      </c>
      <c r="C266" s="1"/>
      <c r="D266" s="2"/>
      <c r="E266" s="1"/>
      <c r="F266" s="3">
        <v>3</v>
      </c>
      <c r="G266" s="1">
        <f t="shared" ref="G266:G273" si="26">I265+1</f>
        <v>15</v>
      </c>
      <c r="H266" s="1" t="s">
        <v>4</v>
      </c>
      <c r="I266" s="1">
        <f t="shared" ref="I266:I273" si="27">I265+F266</f>
        <v>17</v>
      </c>
      <c r="J266" s="1" t="s">
        <v>91</v>
      </c>
    </row>
    <row r="267" spans="1:11" s="4" customFormat="1" ht="15" x14ac:dyDescent="0.25">
      <c r="A267" s="1">
        <v>8</v>
      </c>
      <c r="B267" t="s">
        <v>6</v>
      </c>
      <c r="C267" s="1"/>
      <c r="D267" s="2"/>
      <c r="E267" s="1"/>
      <c r="F267" s="3">
        <v>2</v>
      </c>
      <c r="G267" s="1">
        <f t="shared" si="26"/>
        <v>18</v>
      </c>
      <c r="H267" s="1" t="s">
        <v>4</v>
      </c>
      <c r="I267" s="1">
        <f t="shared" si="27"/>
        <v>19</v>
      </c>
      <c r="J267" s="1" t="s">
        <v>91</v>
      </c>
    </row>
    <row r="268" spans="1:11" s="4" customFormat="1" ht="15" x14ac:dyDescent="0.25">
      <c r="A268" s="1">
        <v>9</v>
      </c>
      <c r="B268" t="s">
        <v>7</v>
      </c>
      <c r="C268" s="1"/>
      <c r="D268" s="2"/>
      <c r="E268" s="1"/>
      <c r="F268" s="3">
        <v>2</v>
      </c>
      <c r="G268" s="1">
        <f t="shared" si="26"/>
        <v>20</v>
      </c>
      <c r="H268" s="1" t="s">
        <v>4</v>
      </c>
      <c r="I268" s="1">
        <f t="shared" si="27"/>
        <v>21</v>
      </c>
      <c r="J268" s="1" t="s">
        <v>91</v>
      </c>
    </row>
    <row r="269" spans="1:11" s="4" customFormat="1" ht="15" x14ac:dyDescent="0.25">
      <c r="A269" s="1">
        <v>10</v>
      </c>
      <c r="B269" t="s">
        <v>37</v>
      </c>
      <c r="C269" s="1"/>
      <c r="D269" s="2"/>
      <c r="E269" s="1"/>
      <c r="F269" s="3">
        <v>2</v>
      </c>
      <c r="G269" s="1">
        <f t="shared" si="26"/>
        <v>22</v>
      </c>
      <c r="H269" s="1" t="s">
        <v>4</v>
      </c>
      <c r="I269" s="1">
        <f t="shared" si="27"/>
        <v>23</v>
      </c>
      <c r="J269" s="1" t="s">
        <v>91</v>
      </c>
    </row>
    <row r="270" spans="1:11" s="4" customFormat="1" ht="15" x14ac:dyDescent="0.25">
      <c r="A270" s="1">
        <v>11</v>
      </c>
      <c r="B270" t="s">
        <v>8</v>
      </c>
      <c r="C270" s="1"/>
      <c r="D270" s="2"/>
      <c r="E270" s="1"/>
      <c r="F270" s="3">
        <v>1</v>
      </c>
      <c r="G270" s="1">
        <f t="shared" si="26"/>
        <v>24</v>
      </c>
      <c r="H270" s="1" t="s">
        <v>4</v>
      </c>
      <c r="I270" s="1">
        <f t="shared" si="27"/>
        <v>24</v>
      </c>
      <c r="J270" s="1" t="s">
        <v>91</v>
      </c>
    </row>
    <row r="271" spans="1:11" s="4" customFormat="1" ht="15" x14ac:dyDescent="0.25">
      <c r="A271" s="1">
        <v>12</v>
      </c>
      <c r="B271" t="s">
        <v>9</v>
      </c>
      <c r="C271" s="1"/>
      <c r="D271" s="2"/>
      <c r="E271" s="1"/>
      <c r="F271" s="3">
        <v>4</v>
      </c>
      <c r="G271" s="1">
        <f t="shared" si="26"/>
        <v>25</v>
      </c>
      <c r="H271" s="1" t="s">
        <v>4</v>
      </c>
      <c r="I271" s="1">
        <f t="shared" si="27"/>
        <v>28</v>
      </c>
      <c r="J271" s="1" t="s">
        <v>91</v>
      </c>
    </row>
    <row r="272" spans="1:11" s="4" customFormat="1" ht="15" x14ac:dyDescent="0.25">
      <c r="A272" s="1">
        <v>13</v>
      </c>
      <c r="B272" t="s">
        <v>87</v>
      </c>
      <c r="C272" s="1">
        <v>1</v>
      </c>
      <c r="D272" s="2">
        <v>8</v>
      </c>
      <c r="E272" s="1"/>
      <c r="F272" s="3">
        <v>2</v>
      </c>
      <c r="G272" s="1">
        <f t="shared" si="26"/>
        <v>29</v>
      </c>
      <c r="H272" s="1" t="s">
        <v>4</v>
      </c>
      <c r="I272" s="1">
        <f t="shared" si="27"/>
        <v>30</v>
      </c>
      <c r="J272" s="1"/>
    </row>
    <row r="273" spans="1:11" s="4" customFormat="1" ht="15" x14ac:dyDescent="0.25">
      <c r="A273" s="1">
        <v>14</v>
      </c>
      <c r="B273" t="s">
        <v>88</v>
      </c>
      <c r="C273" s="1">
        <v>1</v>
      </c>
      <c r="D273" s="2">
        <v>12</v>
      </c>
      <c r="E273" s="1"/>
      <c r="F273" s="3">
        <v>1</v>
      </c>
      <c r="G273" s="1">
        <f t="shared" si="26"/>
        <v>31</v>
      </c>
      <c r="H273" s="1" t="s">
        <v>4</v>
      </c>
      <c r="I273" s="1">
        <f t="shared" si="27"/>
        <v>31</v>
      </c>
      <c r="J273" s="1"/>
    </row>
    <row r="274" spans="1:11" s="4" customFormat="1" ht="15" x14ac:dyDescent="0.25">
      <c r="A274" s="1">
        <v>15</v>
      </c>
      <c r="B274" t="s">
        <v>21</v>
      </c>
      <c r="C274" s="1">
        <v>1</v>
      </c>
      <c r="D274" s="2">
        <v>13</v>
      </c>
      <c r="E274" s="1"/>
      <c r="F274" s="3">
        <v>1</v>
      </c>
      <c r="G274" s="1">
        <f t="shared" ref="G274:G335" si="28">I273+1</f>
        <v>32</v>
      </c>
      <c r="H274" s="1" t="s">
        <v>4</v>
      </c>
      <c r="I274" s="1">
        <f t="shared" ref="I274:I335" si="29">I273+F274</f>
        <v>32</v>
      </c>
      <c r="J274" s="1"/>
    </row>
    <row r="275" spans="1:11" s="4" customFormat="1" ht="15" x14ac:dyDescent="0.25">
      <c r="A275" s="1">
        <v>16</v>
      </c>
      <c r="B275" t="s">
        <v>22</v>
      </c>
      <c r="C275" s="1">
        <v>1</v>
      </c>
      <c r="D275" s="2">
        <v>14</v>
      </c>
      <c r="E275" s="1"/>
      <c r="F275" s="3">
        <v>2</v>
      </c>
      <c r="G275" s="1">
        <f t="shared" si="28"/>
        <v>33</v>
      </c>
      <c r="H275" s="1" t="s">
        <v>4</v>
      </c>
      <c r="I275" s="1">
        <f t="shared" si="29"/>
        <v>34</v>
      </c>
      <c r="J275" s="12"/>
    </row>
    <row r="276" spans="1:11" s="4" customFormat="1" ht="15" x14ac:dyDescent="0.25">
      <c r="A276" s="1">
        <v>17</v>
      </c>
      <c r="B276" t="s">
        <v>89</v>
      </c>
      <c r="C276" s="1"/>
      <c r="D276" s="2"/>
      <c r="E276" s="1"/>
      <c r="F276" s="3">
        <v>2</v>
      </c>
      <c r="G276" s="1">
        <f t="shared" si="28"/>
        <v>35</v>
      </c>
      <c r="H276" s="1" t="s">
        <v>4</v>
      </c>
      <c r="I276" s="1">
        <f t="shared" si="29"/>
        <v>36</v>
      </c>
      <c r="J276" s="1" t="s">
        <v>20</v>
      </c>
      <c r="K276"/>
    </row>
    <row r="277" spans="1:11" s="4" customFormat="1" ht="15" x14ac:dyDescent="0.25">
      <c r="A277" s="1">
        <v>18</v>
      </c>
      <c r="B277" t="s">
        <v>51</v>
      </c>
      <c r="C277" s="17">
        <v>6.2</v>
      </c>
      <c r="D277" s="16">
        <v>1</v>
      </c>
      <c r="E277" s="17" t="s">
        <v>11</v>
      </c>
      <c r="F277" s="3">
        <v>2</v>
      </c>
      <c r="G277" s="1">
        <f t="shared" si="28"/>
        <v>37</v>
      </c>
      <c r="H277" s="1" t="s">
        <v>4</v>
      </c>
      <c r="I277" s="1">
        <f t="shared" si="29"/>
        <v>38</v>
      </c>
      <c r="J277" s="1"/>
      <c r="K277"/>
    </row>
    <row r="278" spans="1:11" s="4" customFormat="1" ht="15" x14ac:dyDescent="0.25">
      <c r="A278" s="1">
        <v>19</v>
      </c>
      <c r="B278" t="s">
        <v>47</v>
      </c>
      <c r="C278" s="17">
        <v>6.2</v>
      </c>
      <c r="D278" s="16">
        <v>2</v>
      </c>
      <c r="E278" s="17" t="s">
        <v>11</v>
      </c>
      <c r="F278" s="3">
        <v>1</v>
      </c>
      <c r="G278" s="1">
        <f t="shared" si="28"/>
        <v>39</v>
      </c>
      <c r="H278" s="1" t="s">
        <v>4</v>
      </c>
      <c r="I278" s="1">
        <f t="shared" si="29"/>
        <v>39</v>
      </c>
      <c r="J278" s="1"/>
      <c r="K278"/>
    </row>
    <row r="279" spans="1:11" s="4" customFormat="1" ht="15" x14ac:dyDescent="0.25">
      <c r="A279" s="1">
        <v>20</v>
      </c>
      <c r="B279" t="s">
        <v>40</v>
      </c>
      <c r="C279" s="17">
        <v>6.2</v>
      </c>
      <c r="D279" s="2">
        <v>3</v>
      </c>
      <c r="E279" s="17" t="s">
        <v>11</v>
      </c>
      <c r="F279" s="3">
        <v>7</v>
      </c>
      <c r="G279" s="1">
        <f t="shared" si="28"/>
        <v>40</v>
      </c>
      <c r="H279" s="1" t="s">
        <v>4</v>
      </c>
      <c r="I279" s="1">
        <f t="shared" si="29"/>
        <v>46</v>
      </c>
      <c r="J279" s="1"/>
      <c r="K279"/>
    </row>
    <row r="280" spans="1:11" s="4" customFormat="1" ht="15" x14ac:dyDescent="0.25">
      <c r="A280" s="1">
        <v>21</v>
      </c>
      <c r="B280" t="s">
        <v>56</v>
      </c>
      <c r="C280" s="17">
        <v>6.2</v>
      </c>
      <c r="D280" s="2">
        <v>3.1</v>
      </c>
      <c r="E280" s="17" t="s">
        <v>11</v>
      </c>
      <c r="F280" s="3">
        <v>1</v>
      </c>
      <c r="G280" s="1">
        <f t="shared" si="28"/>
        <v>47</v>
      </c>
      <c r="H280" s="1" t="s">
        <v>4</v>
      </c>
      <c r="I280" s="1">
        <f t="shared" si="29"/>
        <v>47</v>
      </c>
      <c r="J280" s="1"/>
      <c r="K280"/>
    </row>
    <row r="281" spans="1:11" s="4" customFormat="1" ht="15" x14ac:dyDescent="0.25">
      <c r="A281" s="1">
        <v>22</v>
      </c>
      <c r="B281" t="s">
        <v>57</v>
      </c>
      <c r="C281" s="17">
        <v>6.2</v>
      </c>
      <c r="D281" s="2">
        <v>3.2</v>
      </c>
      <c r="E281" s="17" t="s">
        <v>11</v>
      </c>
      <c r="F281" s="3">
        <v>1</v>
      </c>
      <c r="G281" s="1">
        <f t="shared" si="28"/>
        <v>48</v>
      </c>
      <c r="H281" s="1" t="s">
        <v>4</v>
      </c>
      <c r="I281" s="1">
        <f t="shared" si="29"/>
        <v>48</v>
      </c>
      <c r="J281" s="1"/>
      <c r="K281"/>
    </row>
    <row r="282" spans="1:11" s="4" customFormat="1" ht="15" x14ac:dyDescent="0.25">
      <c r="A282" s="1">
        <v>23</v>
      </c>
      <c r="B282" t="s">
        <v>154</v>
      </c>
      <c r="C282" s="17">
        <v>6.2</v>
      </c>
      <c r="D282" s="2">
        <v>3.3</v>
      </c>
      <c r="E282" s="17" t="s">
        <v>11</v>
      </c>
      <c r="F282" s="3">
        <v>1</v>
      </c>
      <c r="G282" s="1">
        <f t="shared" si="28"/>
        <v>49</v>
      </c>
      <c r="H282" s="1" t="s">
        <v>4</v>
      </c>
      <c r="I282" s="1">
        <f t="shared" si="29"/>
        <v>49</v>
      </c>
      <c r="J282" s="1"/>
      <c r="K282"/>
    </row>
    <row r="283" spans="1:11" s="4" customFormat="1" ht="15" x14ac:dyDescent="0.25">
      <c r="A283" s="1">
        <v>24</v>
      </c>
      <c r="B283" t="s">
        <v>58</v>
      </c>
      <c r="C283" s="17">
        <v>6.2</v>
      </c>
      <c r="D283" s="2">
        <v>3.4</v>
      </c>
      <c r="E283" s="17" t="s">
        <v>11</v>
      </c>
      <c r="F283" s="3">
        <v>1</v>
      </c>
      <c r="G283" s="1">
        <f t="shared" si="28"/>
        <v>50</v>
      </c>
      <c r="H283" s="1" t="s">
        <v>4</v>
      </c>
      <c r="I283" s="1">
        <f t="shared" si="29"/>
        <v>50</v>
      </c>
      <c r="J283" s="1"/>
      <c r="K283"/>
    </row>
    <row r="284" spans="1:11" s="4" customFormat="1" ht="15" x14ac:dyDescent="0.25">
      <c r="A284" s="1">
        <v>25</v>
      </c>
      <c r="B284" t="s">
        <v>52</v>
      </c>
      <c r="C284" s="17">
        <v>6.2</v>
      </c>
      <c r="D284" s="2">
        <v>4.0999999999999996</v>
      </c>
      <c r="E284" s="17" t="s">
        <v>11</v>
      </c>
      <c r="F284" s="3">
        <v>7</v>
      </c>
      <c r="G284" s="1">
        <f t="shared" si="28"/>
        <v>51</v>
      </c>
      <c r="H284" s="1" t="s">
        <v>4</v>
      </c>
      <c r="I284" s="1">
        <f t="shared" si="29"/>
        <v>57</v>
      </c>
      <c r="J284" s="1"/>
      <c r="K284"/>
    </row>
    <row r="285" spans="1:11" s="4" customFormat="1" ht="15" x14ac:dyDescent="0.25">
      <c r="A285" s="1">
        <v>26</v>
      </c>
      <c r="B285" t="s">
        <v>59</v>
      </c>
      <c r="C285" s="17">
        <v>6.2</v>
      </c>
      <c r="D285" s="2">
        <v>4.2</v>
      </c>
      <c r="E285" s="17" t="s">
        <v>11</v>
      </c>
      <c r="F285" s="3">
        <v>7</v>
      </c>
      <c r="G285" s="1">
        <f t="shared" si="28"/>
        <v>58</v>
      </c>
      <c r="H285" s="1" t="s">
        <v>4</v>
      </c>
      <c r="I285" s="1">
        <f t="shared" si="29"/>
        <v>64</v>
      </c>
      <c r="J285" s="1"/>
      <c r="K285"/>
    </row>
    <row r="286" spans="1:11" s="4" customFormat="1" ht="15" x14ac:dyDescent="0.25">
      <c r="A286" s="1">
        <v>27</v>
      </c>
      <c r="B286" t="s">
        <v>53</v>
      </c>
      <c r="C286" s="17">
        <v>6.2</v>
      </c>
      <c r="D286" s="2">
        <v>4.3</v>
      </c>
      <c r="E286" s="17" t="s">
        <v>11</v>
      </c>
      <c r="F286" s="3">
        <v>7</v>
      </c>
      <c r="G286" s="1">
        <f t="shared" si="28"/>
        <v>65</v>
      </c>
      <c r="H286" s="1" t="s">
        <v>4</v>
      </c>
      <c r="I286" s="1">
        <f t="shared" si="29"/>
        <v>71</v>
      </c>
      <c r="J286" s="1"/>
      <c r="K286"/>
    </row>
    <row r="287" spans="1:11" s="4" customFormat="1" ht="15" x14ac:dyDescent="0.25">
      <c r="A287" s="1">
        <v>28</v>
      </c>
      <c r="B287" t="s">
        <v>54</v>
      </c>
      <c r="C287" s="17">
        <v>6.2</v>
      </c>
      <c r="D287" s="2">
        <v>4.4000000000000004</v>
      </c>
      <c r="E287" s="17" t="s">
        <v>11</v>
      </c>
      <c r="F287" s="3">
        <v>7</v>
      </c>
      <c r="G287" s="1">
        <f t="shared" si="28"/>
        <v>72</v>
      </c>
      <c r="H287" s="1" t="s">
        <v>4</v>
      </c>
      <c r="I287" s="1">
        <f t="shared" si="29"/>
        <v>78</v>
      </c>
      <c r="J287" s="12"/>
      <c r="K287"/>
    </row>
    <row r="288" spans="1:11" s="4" customFormat="1" ht="15" x14ac:dyDescent="0.25">
      <c r="A288" s="1">
        <v>29</v>
      </c>
      <c r="B288" t="s">
        <v>98</v>
      </c>
      <c r="C288" s="17">
        <v>6.2</v>
      </c>
      <c r="D288" s="2">
        <v>4.5</v>
      </c>
      <c r="E288" s="17" t="s">
        <v>11</v>
      </c>
      <c r="F288" s="3">
        <v>7</v>
      </c>
      <c r="G288" s="1">
        <f t="shared" si="28"/>
        <v>79</v>
      </c>
      <c r="H288" s="1" t="s">
        <v>4</v>
      </c>
      <c r="I288" s="1">
        <f t="shared" si="29"/>
        <v>85</v>
      </c>
      <c r="J288" s="12"/>
      <c r="K288"/>
    </row>
    <row r="289" spans="1:13" s="4" customFormat="1" ht="15" x14ac:dyDescent="0.25">
      <c r="A289" s="1">
        <v>30</v>
      </c>
      <c r="B289" t="s">
        <v>55</v>
      </c>
      <c r="C289" s="17">
        <v>6.2</v>
      </c>
      <c r="D289" s="2">
        <v>4.5999999999999996</v>
      </c>
      <c r="E289" s="17" t="s">
        <v>11</v>
      </c>
      <c r="F289" s="3">
        <v>7</v>
      </c>
      <c r="G289" s="1">
        <f t="shared" si="28"/>
        <v>86</v>
      </c>
      <c r="H289" s="1" t="s">
        <v>4</v>
      </c>
      <c r="I289" s="1">
        <f t="shared" si="29"/>
        <v>92</v>
      </c>
      <c r="J289" s="1"/>
      <c r="K289"/>
    </row>
    <row r="290" spans="1:13" s="4" customFormat="1" ht="15" x14ac:dyDescent="0.25">
      <c r="A290" s="1">
        <v>31</v>
      </c>
      <c r="B290" t="s">
        <v>99</v>
      </c>
      <c r="C290" s="17">
        <v>6.2</v>
      </c>
      <c r="D290" s="28" t="s">
        <v>62</v>
      </c>
      <c r="E290" s="17" t="s">
        <v>11</v>
      </c>
      <c r="F290" s="3">
        <v>7</v>
      </c>
      <c r="G290" s="1">
        <f t="shared" si="28"/>
        <v>93</v>
      </c>
      <c r="H290" s="1" t="s">
        <v>4</v>
      </c>
      <c r="I290" s="1">
        <f t="shared" si="29"/>
        <v>99</v>
      </c>
      <c r="J290" s="1"/>
      <c r="K290"/>
    </row>
    <row r="291" spans="1:13" s="4" customFormat="1" ht="15" x14ac:dyDescent="0.25">
      <c r="A291" s="1">
        <v>32</v>
      </c>
      <c r="B291" t="s">
        <v>60</v>
      </c>
      <c r="C291" s="17">
        <v>6.2</v>
      </c>
      <c r="D291" s="2">
        <v>5.0999999999999996</v>
      </c>
      <c r="E291" s="17" t="s">
        <v>11</v>
      </c>
      <c r="F291" s="3">
        <v>7</v>
      </c>
      <c r="G291" s="1">
        <f t="shared" si="28"/>
        <v>100</v>
      </c>
      <c r="H291" s="1" t="s">
        <v>4</v>
      </c>
      <c r="I291" s="1">
        <f t="shared" si="29"/>
        <v>106</v>
      </c>
      <c r="J291" s="1"/>
      <c r="K291"/>
    </row>
    <row r="292" spans="1:13" s="4" customFormat="1" ht="15" x14ac:dyDescent="0.25">
      <c r="A292" s="1">
        <v>33</v>
      </c>
      <c r="B292" t="s">
        <v>155</v>
      </c>
      <c r="C292" s="17">
        <v>6.2</v>
      </c>
      <c r="D292" s="2">
        <v>5.2</v>
      </c>
      <c r="E292" s="17" t="s">
        <v>11</v>
      </c>
      <c r="F292" s="3">
        <v>7</v>
      </c>
      <c r="G292" s="1">
        <f t="shared" si="28"/>
        <v>107</v>
      </c>
      <c r="H292" s="1" t="s">
        <v>4</v>
      </c>
      <c r="I292" s="1">
        <f t="shared" si="29"/>
        <v>113</v>
      </c>
      <c r="J292" s="1"/>
      <c r="K292"/>
    </row>
    <row r="293" spans="1:13" s="5" customFormat="1" ht="15" x14ac:dyDescent="0.25">
      <c r="A293" s="1">
        <v>34</v>
      </c>
      <c r="B293" t="s">
        <v>61</v>
      </c>
      <c r="C293" s="17">
        <v>6.2</v>
      </c>
      <c r="D293" s="28" t="s">
        <v>63</v>
      </c>
      <c r="E293" s="17" t="s">
        <v>11</v>
      </c>
      <c r="F293" s="3">
        <v>7</v>
      </c>
      <c r="G293" s="1">
        <f t="shared" si="28"/>
        <v>114</v>
      </c>
      <c r="H293" s="1" t="s">
        <v>4</v>
      </c>
      <c r="I293" s="1">
        <f t="shared" si="29"/>
        <v>120</v>
      </c>
      <c r="J293" s="22"/>
      <c r="K293"/>
      <c r="L293" s="4"/>
      <c r="M293" s="4"/>
    </row>
    <row r="294" spans="1:13" s="4" customFormat="1" ht="15" x14ac:dyDescent="0.25">
      <c r="A294" s="1">
        <v>35</v>
      </c>
      <c r="B294" t="s">
        <v>157</v>
      </c>
      <c r="C294" s="17">
        <v>6.2</v>
      </c>
      <c r="D294" s="2">
        <v>6.1</v>
      </c>
      <c r="E294" s="17" t="s">
        <v>11</v>
      </c>
      <c r="F294" s="3">
        <v>7</v>
      </c>
      <c r="G294" s="1">
        <f t="shared" si="28"/>
        <v>121</v>
      </c>
      <c r="H294" s="1" t="s">
        <v>4</v>
      </c>
      <c r="I294" s="1">
        <f t="shared" si="29"/>
        <v>127</v>
      </c>
      <c r="J294" s="1"/>
      <c r="K294"/>
    </row>
    <row r="295" spans="1:13" s="4" customFormat="1" ht="15" x14ac:dyDescent="0.25">
      <c r="A295" s="1">
        <v>36</v>
      </c>
      <c r="B295" t="s">
        <v>100</v>
      </c>
      <c r="C295" s="17">
        <v>6.2</v>
      </c>
      <c r="D295" s="2">
        <v>6.2</v>
      </c>
      <c r="E295" s="17" t="s">
        <v>11</v>
      </c>
      <c r="F295" s="3">
        <v>7</v>
      </c>
      <c r="G295" s="1">
        <f t="shared" si="28"/>
        <v>128</v>
      </c>
      <c r="H295" s="1" t="s">
        <v>4</v>
      </c>
      <c r="I295" s="1">
        <f t="shared" si="29"/>
        <v>134</v>
      </c>
      <c r="J295" s="1"/>
      <c r="K295"/>
    </row>
    <row r="296" spans="1:13" s="4" customFormat="1" ht="15" x14ac:dyDescent="0.25">
      <c r="A296" s="1">
        <v>37</v>
      </c>
      <c r="B296" t="s">
        <v>101</v>
      </c>
      <c r="C296" s="17">
        <v>6.2</v>
      </c>
      <c r="D296" s="2">
        <v>6.3</v>
      </c>
      <c r="E296" s="17" t="s">
        <v>11</v>
      </c>
      <c r="F296" s="3">
        <v>7</v>
      </c>
      <c r="G296" s="1">
        <f t="shared" si="28"/>
        <v>135</v>
      </c>
      <c r="H296" s="1" t="s">
        <v>4</v>
      </c>
      <c r="I296" s="1">
        <f t="shared" si="29"/>
        <v>141</v>
      </c>
      <c r="J296" s="1"/>
      <c r="K296"/>
    </row>
    <row r="297" spans="1:13" s="4" customFormat="1" ht="15" x14ac:dyDescent="0.25">
      <c r="A297" s="1">
        <v>38</v>
      </c>
      <c r="B297" t="s">
        <v>102</v>
      </c>
      <c r="C297" s="17">
        <v>6.2</v>
      </c>
      <c r="D297" s="2">
        <v>6.4</v>
      </c>
      <c r="E297" s="17" t="s">
        <v>11</v>
      </c>
      <c r="F297" s="3">
        <v>7</v>
      </c>
      <c r="G297" s="1">
        <f t="shared" si="28"/>
        <v>142</v>
      </c>
      <c r="H297" s="1" t="s">
        <v>4</v>
      </c>
      <c r="I297" s="1">
        <f t="shared" si="29"/>
        <v>148</v>
      </c>
      <c r="J297" s="1"/>
      <c r="K297"/>
    </row>
    <row r="298" spans="1:13" s="4" customFormat="1" ht="15" x14ac:dyDescent="0.25">
      <c r="A298" s="1">
        <v>39</v>
      </c>
      <c r="B298" t="s">
        <v>103</v>
      </c>
      <c r="C298" s="17">
        <v>6.2</v>
      </c>
      <c r="D298" s="16">
        <v>6.5</v>
      </c>
      <c r="E298" s="17" t="s">
        <v>11</v>
      </c>
      <c r="F298" s="3">
        <v>7</v>
      </c>
      <c r="G298" s="1">
        <f t="shared" si="28"/>
        <v>149</v>
      </c>
      <c r="H298" s="1" t="s">
        <v>4</v>
      </c>
      <c r="I298" s="1">
        <f t="shared" si="29"/>
        <v>155</v>
      </c>
      <c r="J298" s="1"/>
      <c r="K298"/>
    </row>
    <row r="299" spans="1:13" s="4" customFormat="1" ht="15" x14ac:dyDescent="0.25">
      <c r="A299" s="1">
        <v>40</v>
      </c>
      <c r="B299" t="s">
        <v>104</v>
      </c>
      <c r="C299" s="17">
        <v>6.2</v>
      </c>
      <c r="D299" s="16">
        <v>6.6</v>
      </c>
      <c r="E299" s="17" t="s">
        <v>11</v>
      </c>
      <c r="F299" s="3">
        <v>7</v>
      </c>
      <c r="G299" s="1">
        <f t="shared" si="28"/>
        <v>156</v>
      </c>
      <c r="H299" s="1" t="s">
        <v>4</v>
      </c>
      <c r="I299" s="1">
        <f t="shared" si="29"/>
        <v>162</v>
      </c>
      <c r="J299" s="1"/>
      <c r="K299"/>
    </row>
    <row r="300" spans="1:13" s="5" customFormat="1" ht="15" x14ac:dyDescent="0.25">
      <c r="A300" s="1">
        <v>41</v>
      </c>
      <c r="B300" t="s">
        <v>105</v>
      </c>
      <c r="C300" s="17">
        <v>6.2</v>
      </c>
      <c r="D300" s="2">
        <v>6.7</v>
      </c>
      <c r="E300" s="17" t="s">
        <v>11</v>
      </c>
      <c r="F300" s="3">
        <v>7</v>
      </c>
      <c r="G300" s="1">
        <f t="shared" si="28"/>
        <v>163</v>
      </c>
      <c r="H300" s="1" t="s">
        <v>4</v>
      </c>
      <c r="I300" s="1">
        <f t="shared" si="29"/>
        <v>169</v>
      </c>
      <c r="J300" s="22"/>
      <c r="K300"/>
      <c r="L300" s="4"/>
      <c r="M300" s="4"/>
    </row>
    <row r="301" spans="1:13" s="5" customFormat="1" ht="15" x14ac:dyDescent="0.25">
      <c r="A301" s="1">
        <v>42</v>
      </c>
      <c r="B301" t="s">
        <v>106</v>
      </c>
      <c r="C301" s="17">
        <v>6.2</v>
      </c>
      <c r="D301" s="2">
        <v>6.8</v>
      </c>
      <c r="E301" s="17" t="s">
        <v>11</v>
      </c>
      <c r="F301" s="3">
        <v>7</v>
      </c>
      <c r="G301" s="1">
        <f t="shared" si="28"/>
        <v>170</v>
      </c>
      <c r="H301" s="1" t="s">
        <v>4</v>
      </c>
      <c r="I301" s="1">
        <f t="shared" si="29"/>
        <v>176</v>
      </c>
      <c r="J301" s="22"/>
      <c r="K301"/>
      <c r="L301" s="4"/>
      <c r="M301" s="4"/>
    </row>
    <row r="302" spans="1:13" s="4" customFormat="1" ht="15" x14ac:dyDescent="0.25">
      <c r="A302" s="1">
        <v>43</v>
      </c>
      <c r="B302" t="s">
        <v>107</v>
      </c>
      <c r="C302" s="17">
        <v>6.2</v>
      </c>
      <c r="D302" s="28" t="s">
        <v>70</v>
      </c>
      <c r="E302" s="17" t="s">
        <v>11</v>
      </c>
      <c r="F302" s="3">
        <v>7</v>
      </c>
      <c r="G302" s="1">
        <f t="shared" si="28"/>
        <v>177</v>
      </c>
      <c r="H302" s="1" t="s">
        <v>4</v>
      </c>
      <c r="I302" s="1">
        <f t="shared" si="29"/>
        <v>183</v>
      </c>
      <c r="J302" s="1"/>
      <c r="K302"/>
    </row>
    <row r="303" spans="1:13" s="4" customFormat="1" ht="15" x14ac:dyDescent="0.25">
      <c r="A303" s="1">
        <v>44</v>
      </c>
      <c r="B303" t="s">
        <v>64</v>
      </c>
      <c r="C303" s="17">
        <v>6.2</v>
      </c>
      <c r="D303" s="2">
        <v>7.01</v>
      </c>
      <c r="E303" s="17" t="s">
        <v>11</v>
      </c>
      <c r="F303" s="3">
        <v>7</v>
      </c>
      <c r="G303" s="1">
        <f t="shared" si="28"/>
        <v>184</v>
      </c>
      <c r="H303" s="1" t="s">
        <v>4</v>
      </c>
      <c r="I303" s="1">
        <f t="shared" si="29"/>
        <v>190</v>
      </c>
      <c r="J303" s="1"/>
      <c r="K303"/>
    </row>
    <row r="304" spans="1:13" s="4" customFormat="1" ht="15" x14ac:dyDescent="0.25">
      <c r="A304" s="1">
        <v>45</v>
      </c>
      <c r="B304" t="s">
        <v>108</v>
      </c>
      <c r="C304" s="17">
        <v>6.2</v>
      </c>
      <c r="D304" s="2">
        <v>7.02</v>
      </c>
      <c r="E304" s="17" t="s">
        <v>11</v>
      </c>
      <c r="F304" s="3">
        <v>7</v>
      </c>
      <c r="G304" s="1">
        <f t="shared" si="28"/>
        <v>191</v>
      </c>
      <c r="H304" s="1" t="s">
        <v>4</v>
      </c>
      <c r="I304" s="1">
        <f t="shared" si="29"/>
        <v>197</v>
      </c>
      <c r="J304" s="1"/>
      <c r="K304"/>
    </row>
    <row r="305" spans="1:11" s="4" customFormat="1" ht="15" x14ac:dyDescent="0.25">
      <c r="A305" s="1">
        <v>46</v>
      </c>
      <c r="B305" t="s">
        <v>109</v>
      </c>
      <c r="C305" s="17">
        <v>6.2</v>
      </c>
      <c r="D305" s="2">
        <v>7.03</v>
      </c>
      <c r="E305" s="17" t="s">
        <v>11</v>
      </c>
      <c r="F305" s="3">
        <v>7</v>
      </c>
      <c r="G305" s="1">
        <f t="shared" si="28"/>
        <v>198</v>
      </c>
      <c r="H305" s="1" t="s">
        <v>4</v>
      </c>
      <c r="I305" s="1">
        <f t="shared" si="29"/>
        <v>204</v>
      </c>
      <c r="J305" s="1"/>
      <c r="K305"/>
    </row>
    <row r="306" spans="1:11" s="4" customFormat="1" ht="15" x14ac:dyDescent="0.25">
      <c r="A306" s="1">
        <v>47</v>
      </c>
      <c r="B306" t="s">
        <v>65</v>
      </c>
      <c r="C306" s="17">
        <v>6.2</v>
      </c>
      <c r="D306" s="2">
        <v>7.04</v>
      </c>
      <c r="E306" s="17" t="s">
        <v>11</v>
      </c>
      <c r="F306" s="3">
        <v>7</v>
      </c>
      <c r="G306" s="1">
        <f t="shared" si="28"/>
        <v>205</v>
      </c>
      <c r="H306" s="1" t="s">
        <v>4</v>
      </c>
      <c r="I306" s="1">
        <f t="shared" si="29"/>
        <v>211</v>
      </c>
      <c r="J306" s="1"/>
      <c r="K306"/>
    </row>
    <row r="307" spans="1:11" s="4" customFormat="1" ht="15" x14ac:dyDescent="0.25">
      <c r="A307" s="1">
        <v>48</v>
      </c>
      <c r="B307" t="s">
        <v>66</v>
      </c>
      <c r="C307" s="17">
        <v>6.2</v>
      </c>
      <c r="D307" s="2">
        <v>7.05</v>
      </c>
      <c r="E307" s="17" t="s">
        <v>11</v>
      </c>
      <c r="F307" s="3">
        <v>7</v>
      </c>
      <c r="G307" s="1">
        <f t="shared" si="28"/>
        <v>212</v>
      </c>
      <c r="H307" s="1" t="s">
        <v>4</v>
      </c>
      <c r="I307" s="1">
        <f t="shared" si="29"/>
        <v>218</v>
      </c>
      <c r="J307" s="1"/>
      <c r="K307"/>
    </row>
    <row r="308" spans="1:11" s="4" customFormat="1" ht="15" x14ac:dyDescent="0.25">
      <c r="A308" s="1">
        <v>49</v>
      </c>
      <c r="B308" t="s">
        <v>67</v>
      </c>
      <c r="C308" s="17">
        <v>6.2</v>
      </c>
      <c r="D308" s="2">
        <v>7.06</v>
      </c>
      <c r="E308" s="17" t="s">
        <v>11</v>
      </c>
      <c r="F308" s="3">
        <v>7</v>
      </c>
      <c r="G308" s="1">
        <f t="shared" si="28"/>
        <v>219</v>
      </c>
      <c r="H308" s="1" t="s">
        <v>4</v>
      </c>
      <c r="I308" s="1">
        <f t="shared" si="29"/>
        <v>225</v>
      </c>
      <c r="J308" s="1"/>
      <c r="K308"/>
    </row>
    <row r="309" spans="1:11" s="4" customFormat="1" ht="15" x14ac:dyDescent="0.25">
      <c r="A309" s="1">
        <v>50</v>
      </c>
      <c r="B309" t="s">
        <v>68</v>
      </c>
      <c r="C309" s="17">
        <v>6.2</v>
      </c>
      <c r="D309" s="2">
        <v>7.07</v>
      </c>
      <c r="E309" s="17" t="s">
        <v>11</v>
      </c>
      <c r="F309" s="3">
        <v>7</v>
      </c>
      <c r="G309" s="1">
        <f t="shared" si="28"/>
        <v>226</v>
      </c>
      <c r="H309" s="1" t="s">
        <v>4</v>
      </c>
      <c r="I309" s="1">
        <f t="shared" si="29"/>
        <v>232</v>
      </c>
      <c r="J309" s="1"/>
      <c r="K309"/>
    </row>
    <row r="310" spans="1:11" s="4" customFormat="1" ht="15" x14ac:dyDescent="0.25">
      <c r="A310" s="1">
        <v>51</v>
      </c>
      <c r="B310" t="s">
        <v>110</v>
      </c>
      <c r="C310" s="17">
        <v>6.2</v>
      </c>
      <c r="D310" s="2">
        <v>7.08</v>
      </c>
      <c r="E310" s="17" t="s">
        <v>11</v>
      </c>
      <c r="F310" s="3">
        <v>7</v>
      </c>
      <c r="G310" s="1">
        <f t="shared" si="28"/>
        <v>233</v>
      </c>
      <c r="H310" s="1" t="s">
        <v>4</v>
      </c>
      <c r="I310" s="1">
        <f t="shared" si="29"/>
        <v>239</v>
      </c>
      <c r="J310" s="1"/>
      <c r="K310"/>
    </row>
    <row r="311" spans="1:11" s="4" customFormat="1" ht="15" x14ac:dyDescent="0.25">
      <c r="A311" s="1">
        <v>52</v>
      </c>
      <c r="B311" t="s">
        <v>111</v>
      </c>
      <c r="C311" s="17">
        <v>6.2</v>
      </c>
      <c r="D311" s="29">
        <v>7.09</v>
      </c>
      <c r="E311" s="17" t="s">
        <v>11</v>
      </c>
      <c r="F311" s="3">
        <v>7</v>
      </c>
      <c r="G311" s="1">
        <f t="shared" si="28"/>
        <v>240</v>
      </c>
      <c r="H311" s="1" t="s">
        <v>4</v>
      </c>
      <c r="I311" s="1">
        <f t="shared" si="29"/>
        <v>246</v>
      </c>
      <c r="J311" s="1"/>
      <c r="K311"/>
    </row>
    <row r="312" spans="1:11" s="4" customFormat="1" ht="15" x14ac:dyDescent="0.25">
      <c r="A312" s="1">
        <v>53</v>
      </c>
      <c r="B312" t="s">
        <v>112</v>
      </c>
      <c r="C312" s="17">
        <v>6.2</v>
      </c>
      <c r="D312" s="29" t="s">
        <v>84</v>
      </c>
      <c r="E312" s="17" t="s">
        <v>11</v>
      </c>
      <c r="F312" s="3">
        <v>7</v>
      </c>
      <c r="G312" s="1">
        <f t="shared" si="28"/>
        <v>247</v>
      </c>
      <c r="H312" s="1" t="s">
        <v>4</v>
      </c>
      <c r="I312" s="1">
        <f t="shared" si="29"/>
        <v>253</v>
      </c>
      <c r="J312" s="1"/>
      <c r="K312"/>
    </row>
    <row r="313" spans="1:11" s="4" customFormat="1" ht="15" x14ac:dyDescent="0.25">
      <c r="A313" s="1">
        <v>54</v>
      </c>
      <c r="B313" t="s">
        <v>113</v>
      </c>
      <c r="C313" s="17">
        <v>6.2</v>
      </c>
      <c r="D313" s="29" t="s">
        <v>69</v>
      </c>
      <c r="E313" s="17" t="s">
        <v>11</v>
      </c>
      <c r="F313" s="3">
        <v>7</v>
      </c>
      <c r="G313" s="1">
        <f t="shared" si="28"/>
        <v>254</v>
      </c>
      <c r="H313" s="1" t="s">
        <v>4</v>
      </c>
      <c r="I313" s="1">
        <f t="shared" si="29"/>
        <v>260</v>
      </c>
      <c r="J313" s="1"/>
      <c r="K313"/>
    </row>
    <row r="314" spans="1:11" s="4" customFormat="1" ht="15" x14ac:dyDescent="0.25">
      <c r="A314" s="1">
        <v>55</v>
      </c>
      <c r="B314" t="s">
        <v>114</v>
      </c>
      <c r="C314" s="17">
        <v>6.2</v>
      </c>
      <c r="D314" s="2">
        <v>8.1</v>
      </c>
      <c r="E314" s="17" t="s">
        <v>11</v>
      </c>
      <c r="F314" s="3">
        <v>7</v>
      </c>
      <c r="G314" s="1">
        <f t="shared" si="28"/>
        <v>261</v>
      </c>
      <c r="H314" s="1" t="s">
        <v>4</v>
      </c>
      <c r="I314" s="1">
        <f t="shared" si="29"/>
        <v>267</v>
      </c>
      <c r="J314" s="12"/>
      <c r="K314"/>
    </row>
    <row r="315" spans="1:11" s="4" customFormat="1" ht="15" x14ac:dyDescent="0.25">
      <c r="A315" s="1">
        <v>56</v>
      </c>
      <c r="B315" t="s">
        <v>115</v>
      </c>
      <c r="C315" s="17">
        <v>6.2</v>
      </c>
      <c r="D315" s="2">
        <v>8.1999999999999993</v>
      </c>
      <c r="E315" s="17" t="s">
        <v>11</v>
      </c>
      <c r="F315" s="3">
        <v>7</v>
      </c>
      <c r="G315" s="1">
        <f t="shared" si="28"/>
        <v>268</v>
      </c>
      <c r="H315" s="1" t="s">
        <v>4</v>
      </c>
      <c r="I315" s="1">
        <f t="shared" si="29"/>
        <v>274</v>
      </c>
      <c r="J315" s="12"/>
      <c r="K315"/>
    </row>
    <row r="316" spans="1:11" s="4" customFormat="1" ht="15" x14ac:dyDescent="0.25">
      <c r="A316" s="1">
        <v>57</v>
      </c>
      <c r="B316" t="s">
        <v>116</v>
      </c>
      <c r="C316" s="17">
        <v>6.2</v>
      </c>
      <c r="D316" s="2">
        <v>8.3000000000000007</v>
      </c>
      <c r="E316" s="17" t="s">
        <v>11</v>
      </c>
      <c r="F316" s="3">
        <v>7</v>
      </c>
      <c r="G316" s="1">
        <f t="shared" si="28"/>
        <v>275</v>
      </c>
      <c r="H316" s="1" t="s">
        <v>4</v>
      </c>
      <c r="I316" s="1">
        <f t="shared" si="29"/>
        <v>281</v>
      </c>
      <c r="J316" s="1"/>
      <c r="K316"/>
    </row>
    <row r="317" spans="1:11" s="4" customFormat="1" ht="15" x14ac:dyDescent="0.25">
      <c r="A317" s="1">
        <v>58</v>
      </c>
      <c r="B317" t="s">
        <v>117</v>
      </c>
      <c r="C317" s="17">
        <v>6.2</v>
      </c>
      <c r="D317" s="16">
        <v>8.4</v>
      </c>
      <c r="E317" s="17" t="s">
        <v>11</v>
      </c>
      <c r="F317" s="3">
        <v>7</v>
      </c>
      <c r="G317" s="1">
        <f t="shared" si="28"/>
        <v>282</v>
      </c>
      <c r="H317" s="1" t="s">
        <v>4</v>
      </c>
      <c r="I317" s="1">
        <f t="shared" si="29"/>
        <v>288</v>
      </c>
      <c r="J317" s="1"/>
      <c r="K317"/>
    </row>
    <row r="318" spans="1:11" s="4" customFormat="1" ht="15" x14ac:dyDescent="0.25">
      <c r="A318" s="1">
        <v>59</v>
      </c>
      <c r="B318" t="s">
        <v>118</v>
      </c>
      <c r="C318" s="17">
        <v>6.2</v>
      </c>
      <c r="D318" s="16" t="s">
        <v>71</v>
      </c>
      <c r="E318" s="17" t="s">
        <v>11</v>
      </c>
      <c r="F318" s="3">
        <v>7</v>
      </c>
      <c r="G318" s="1">
        <f t="shared" si="28"/>
        <v>289</v>
      </c>
      <c r="H318" s="1" t="s">
        <v>4</v>
      </c>
      <c r="I318" s="1">
        <f t="shared" si="29"/>
        <v>295</v>
      </c>
      <c r="J318" s="1"/>
      <c r="K318"/>
    </row>
    <row r="319" spans="1:11" s="4" customFormat="1" ht="15" x14ac:dyDescent="0.25">
      <c r="A319" s="1">
        <v>60</v>
      </c>
      <c r="B319" t="s">
        <v>119</v>
      </c>
      <c r="C319" s="17">
        <v>6.2</v>
      </c>
      <c r="D319" s="2" t="s">
        <v>72</v>
      </c>
      <c r="E319" s="17" t="s">
        <v>11</v>
      </c>
      <c r="F319" s="3">
        <v>7</v>
      </c>
      <c r="G319" s="1">
        <f t="shared" si="28"/>
        <v>296</v>
      </c>
      <c r="H319" s="1" t="s">
        <v>4</v>
      </c>
      <c r="I319" s="1">
        <f t="shared" si="29"/>
        <v>302</v>
      </c>
      <c r="J319" s="1"/>
      <c r="K319"/>
    </row>
    <row r="320" spans="1:11" s="4" customFormat="1" ht="15" x14ac:dyDescent="0.25">
      <c r="A320" s="1">
        <v>61</v>
      </c>
      <c r="B320" t="s">
        <v>120</v>
      </c>
      <c r="C320" s="17">
        <v>6.2</v>
      </c>
      <c r="D320" s="2" t="s">
        <v>73</v>
      </c>
      <c r="E320" s="17" t="s">
        <v>11</v>
      </c>
      <c r="F320" s="3">
        <v>7</v>
      </c>
      <c r="G320" s="1">
        <f t="shared" si="28"/>
        <v>303</v>
      </c>
      <c r="H320" s="1" t="s">
        <v>4</v>
      </c>
      <c r="I320" s="1">
        <f t="shared" si="29"/>
        <v>309</v>
      </c>
      <c r="J320" s="1"/>
      <c r="K320"/>
    </row>
    <row r="321" spans="1:11" s="4" customFormat="1" ht="15" x14ac:dyDescent="0.25">
      <c r="A321" s="1">
        <v>62</v>
      </c>
      <c r="B321" t="s">
        <v>121</v>
      </c>
      <c r="C321" s="17">
        <v>6.2</v>
      </c>
      <c r="D321" s="2" t="s">
        <v>74</v>
      </c>
      <c r="E321" s="17" t="s">
        <v>11</v>
      </c>
      <c r="F321" s="3">
        <v>7</v>
      </c>
      <c r="G321" s="1">
        <f t="shared" si="28"/>
        <v>310</v>
      </c>
      <c r="H321" s="1" t="s">
        <v>4</v>
      </c>
      <c r="I321" s="1">
        <f t="shared" si="29"/>
        <v>316</v>
      </c>
      <c r="J321" s="1"/>
      <c r="K321"/>
    </row>
    <row r="322" spans="1:11" s="4" customFormat="1" ht="15" x14ac:dyDescent="0.25">
      <c r="A322" s="1">
        <v>63</v>
      </c>
      <c r="B322" t="s">
        <v>122</v>
      </c>
      <c r="C322" s="17">
        <v>6.2</v>
      </c>
      <c r="D322" s="28" t="s">
        <v>75</v>
      </c>
      <c r="E322" s="17" t="s">
        <v>11</v>
      </c>
      <c r="F322" s="3">
        <v>7</v>
      </c>
      <c r="G322" s="1">
        <f t="shared" si="28"/>
        <v>317</v>
      </c>
      <c r="H322" s="1" t="s">
        <v>4</v>
      </c>
      <c r="I322" s="1">
        <f t="shared" si="29"/>
        <v>323</v>
      </c>
      <c r="J322" s="1"/>
      <c r="K322"/>
    </row>
    <row r="323" spans="1:11" s="4" customFormat="1" ht="15" x14ac:dyDescent="0.25">
      <c r="A323" s="1">
        <v>64</v>
      </c>
      <c r="B323" t="s">
        <v>55</v>
      </c>
      <c r="C323" s="17">
        <v>6.2</v>
      </c>
      <c r="D323" s="2">
        <v>9</v>
      </c>
      <c r="E323" s="17" t="s">
        <v>11</v>
      </c>
      <c r="F323" s="3">
        <v>7</v>
      </c>
      <c r="G323" s="1">
        <f t="shared" si="28"/>
        <v>324</v>
      </c>
      <c r="H323" s="1" t="s">
        <v>4</v>
      </c>
      <c r="I323" s="1">
        <f t="shared" si="29"/>
        <v>330</v>
      </c>
      <c r="J323" s="1"/>
      <c r="K323"/>
    </row>
    <row r="324" spans="1:11" s="4" customFormat="1" ht="15" x14ac:dyDescent="0.25">
      <c r="A324" s="1">
        <v>65</v>
      </c>
      <c r="B324" t="s">
        <v>76</v>
      </c>
      <c r="C324" s="17">
        <v>6.2</v>
      </c>
      <c r="D324" s="2">
        <v>10</v>
      </c>
      <c r="E324" s="17" t="s">
        <v>11</v>
      </c>
      <c r="F324" s="3">
        <v>7</v>
      </c>
      <c r="G324" s="1">
        <f t="shared" si="28"/>
        <v>331</v>
      </c>
      <c r="H324" s="1" t="s">
        <v>4</v>
      </c>
      <c r="I324" s="1">
        <f t="shared" si="29"/>
        <v>337</v>
      </c>
      <c r="J324" s="1"/>
      <c r="K324"/>
    </row>
    <row r="325" spans="1:11" s="4" customFormat="1" ht="15" x14ac:dyDescent="0.25">
      <c r="A325" s="1">
        <v>66</v>
      </c>
      <c r="B325" t="s">
        <v>77</v>
      </c>
      <c r="C325" s="17">
        <v>6.2</v>
      </c>
      <c r="D325" s="2">
        <v>11</v>
      </c>
      <c r="E325" s="17" t="s">
        <v>11</v>
      </c>
      <c r="F325" s="3">
        <v>8</v>
      </c>
      <c r="G325" s="1">
        <f t="shared" si="28"/>
        <v>338</v>
      </c>
      <c r="H325" s="1" t="s">
        <v>4</v>
      </c>
      <c r="I325" s="1">
        <f t="shared" si="29"/>
        <v>345</v>
      </c>
      <c r="J325" s="1"/>
      <c r="K325"/>
    </row>
    <row r="326" spans="1:11" s="4" customFormat="1" ht="15" x14ac:dyDescent="0.25">
      <c r="A326" s="1">
        <v>67</v>
      </c>
      <c r="B326" t="s">
        <v>123</v>
      </c>
      <c r="C326" s="17">
        <v>6.2</v>
      </c>
      <c r="D326" s="2">
        <v>12</v>
      </c>
      <c r="E326" s="17" t="s">
        <v>11</v>
      </c>
      <c r="F326" s="3">
        <v>1</v>
      </c>
      <c r="G326" s="1">
        <f t="shared" si="28"/>
        <v>346</v>
      </c>
      <c r="H326" s="1" t="s">
        <v>4</v>
      </c>
      <c r="I326" s="1">
        <f t="shared" si="29"/>
        <v>346</v>
      </c>
      <c r="J326" s="1"/>
      <c r="K326"/>
    </row>
    <row r="327" spans="1:11" s="4" customFormat="1" ht="15" x14ac:dyDescent="0.25">
      <c r="A327" s="1">
        <v>68</v>
      </c>
      <c r="B327" t="s">
        <v>124</v>
      </c>
      <c r="C327" s="17">
        <v>6.2</v>
      </c>
      <c r="D327" s="2">
        <v>13</v>
      </c>
      <c r="E327" s="17" t="s">
        <v>11</v>
      </c>
      <c r="F327" s="3">
        <v>8</v>
      </c>
      <c r="G327" s="1">
        <f t="shared" si="28"/>
        <v>347</v>
      </c>
      <c r="H327" s="1" t="s">
        <v>4</v>
      </c>
      <c r="I327" s="1">
        <f t="shared" si="29"/>
        <v>354</v>
      </c>
      <c r="J327" s="1"/>
      <c r="K327"/>
    </row>
    <row r="328" spans="1:11" s="4" customFormat="1" ht="15" x14ac:dyDescent="0.25">
      <c r="A328" s="1">
        <v>69</v>
      </c>
      <c r="B328" t="s">
        <v>125</v>
      </c>
      <c r="C328" s="17">
        <v>6.2</v>
      </c>
      <c r="D328" s="2">
        <v>14</v>
      </c>
      <c r="E328" s="17" t="s">
        <v>11</v>
      </c>
      <c r="F328" s="3">
        <v>1</v>
      </c>
      <c r="G328" s="1">
        <f t="shared" si="28"/>
        <v>355</v>
      </c>
      <c r="H328" s="1" t="s">
        <v>4</v>
      </c>
      <c r="I328" s="1">
        <f t="shared" si="29"/>
        <v>355</v>
      </c>
      <c r="J328" s="1"/>
      <c r="K328"/>
    </row>
    <row r="329" spans="1:11" s="4" customFormat="1" ht="15" x14ac:dyDescent="0.25">
      <c r="A329" s="1">
        <v>70</v>
      </c>
      <c r="B329" t="s">
        <v>124</v>
      </c>
      <c r="C329" s="17">
        <v>6.2</v>
      </c>
      <c r="D329" s="2">
        <v>15</v>
      </c>
      <c r="E329" s="17" t="s">
        <v>11</v>
      </c>
      <c r="F329" s="3">
        <v>8</v>
      </c>
      <c r="G329" s="1">
        <f t="shared" si="28"/>
        <v>356</v>
      </c>
      <c r="H329" s="1" t="s">
        <v>4</v>
      </c>
      <c r="I329" s="1">
        <f t="shared" si="29"/>
        <v>363</v>
      </c>
      <c r="J329" s="1"/>
      <c r="K329"/>
    </row>
    <row r="330" spans="1:11" s="4" customFormat="1" ht="15" x14ac:dyDescent="0.25">
      <c r="A330" s="1">
        <v>71</v>
      </c>
      <c r="B330" t="s">
        <v>126</v>
      </c>
      <c r="C330" s="17">
        <v>6.2</v>
      </c>
      <c r="D330" s="2">
        <v>16.100000000000001</v>
      </c>
      <c r="E330" s="17" t="s">
        <v>11</v>
      </c>
      <c r="F330" s="3">
        <v>1</v>
      </c>
      <c r="G330" s="1">
        <f t="shared" si="28"/>
        <v>364</v>
      </c>
      <c r="H330" s="1" t="s">
        <v>4</v>
      </c>
      <c r="I330" s="1">
        <f t="shared" si="29"/>
        <v>364</v>
      </c>
      <c r="J330" s="1"/>
      <c r="K330"/>
    </row>
    <row r="331" spans="1:11" s="4" customFormat="1" ht="15" x14ac:dyDescent="0.25">
      <c r="A331" s="1">
        <v>72</v>
      </c>
      <c r="B331" t="s">
        <v>127</v>
      </c>
      <c r="C331" s="17">
        <v>6.2</v>
      </c>
      <c r="D331" s="2">
        <v>16.2</v>
      </c>
      <c r="E331" s="17" t="s">
        <v>11</v>
      </c>
      <c r="F331" s="3">
        <v>1</v>
      </c>
      <c r="G331" s="1">
        <f t="shared" si="28"/>
        <v>365</v>
      </c>
      <c r="H331" s="1" t="s">
        <v>4</v>
      </c>
      <c r="I331" s="1">
        <f t="shared" si="29"/>
        <v>365</v>
      </c>
      <c r="J331" s="1"/>
      <c r="K331"/>
    </row>
    <row r="332" spans="1:11" s="4" customFormat="1" ht="15" x14ac:dyDescent="0.25">
      <c r="A332" s="1">
        <v>73</v>
      </c>
      <c r="B332" t="s">
        <v>128</v>
      </c>
      <c r="C332" s="17">
        <v>6.2</v>
      </c>
      <c r="D332" s="2">
        <v>16.3</v>
      </c>
      <c r="E332" s="17" t="s">
        <v>11</v>
      </c>
      <c r="F332" s="3">
        <v>1</v>
      </c>
      <c r="G332" s="1">
        <f t="shared" si="28"/>
        <v>366</v>
      </c>
      <c r="H332" s="1" t="s">
        <v>4</v>
      </c>
      <c r="I332" s="1">
        <f t="shared" si="29"/>
        <v>366</v>
      </c>
      <c r="J332" s="1"/>
      <c r="K332"/>
    </row>
    <row r="333" spans="1:11" s="4" customFormat="1" ht="15" x14ac:dyDescent="0.25">
      <c r="A333" s="1">
        <v>74</v>
      </c>
      <c r="B333" t="s">
        <v>129</v>
      </c>
      <c r="C333" s="17">
        <v>6.2</v>
      </c>
      <c r="D333" s="16">
        <v>16.399999999999999</v>
      </c>
      <c r="E333" s="17" t="s">
        <v>11</v>
      </c>
      <c r="F333" s="3">
        <v>1</v>
      </c>
      <c r="G333" s="1">
        <f t="shared" si="28"/>
        <v>367</v>
      </c>
      <c r="H333" s="1" t="s">
        <v>4</v>
      </c>
      <c r="I333" s="1">
        <f t="shared" si="29"/>
        <v>367</v>
      </c>
      <c r="J333" s="12"/>
      <c r="K333"/>
    </row>
    <row r="334" spans="1:11" s="4" customFormat="1" ht="15" x14ac:dyDescent="0.25">
      <c r="A334" s="1">
        <v>75</v>
      </c>
      <c r="B334" t="s">
        <v>130</v>
      </c>
      <c r="C334" s="17">
        <v>6.2</v>
      </c>
      <c r="D334" s="16">
        <v>16.5</v>
      </c>
      <c r="E334" s="17" t="s">
        <v>11</v>
      </c>
      <c r="F334" s="3">
        <v>1</v>
      </c>
      <c r="G334" s="1">
        <f t="shared" si="28"/>
        <v>368</v>
      </c>
      <c r="H334" s="1" t="s">
        <v>4</v>
      </c>
      <c r="I334" s="1">
        <f t="shared" si="29"/>
        <v>368</v>
      </c>
      <c r="J334" s="12"/>
      <c r="K334"/>
    </row>
    <row r="335" spans="1:11" s="4" customFormat="1" ht="15" x14ac:dyDescent="0.25">
      <c r="A335" s="1">
        <v>76</v>
      </c>
      <c r="B335" s="4" t="s">
        <v>96</v>
      </c>
      <c r="C335" s="1"/>
      <c r="D335" s="2"/>
      <c r="E335" s="1"/>
      <c r="F335" s="3">
        <v>10</v>
      </c>
      <c r="G335" s="1">
        <f t="shared" si="28"/>
        <v>369</v>
      </c>
      <c r="H335" s="1" t="s">
        <v>4</v>
      </c>
      <c r="I335" s="1">
        <f t="shared" si="29"/>
        <v>378</v>
      </c>
      <c r="J335" s="1"/>
      <c r="K335"/>
    </row>
    <row r="336" spans="1:11" s="4" customFormat="1" x14ac:dyDescent="0.25">
      <c r="C336" s="1"/>
      <c r="D336" s="2"/>
      <c r="E336" s="1"/>
      <c r="F336" s="1"/>
      <c r="G336" s="30"/>
      <c r="H336" s="30"/>
      <c r="I336" s="1"/>
      <c r="J336" s="1"/>
      <c r="K336"/>
    </row>
    <row r="337" spans="1:11" s="4" customFormat="1" x14ac:dyDescent="0.25">
      <c r="C337" s="1"/>
      <c r="D337" s="2"/>
      <c r="E337" s="1"/>
      <c r="F337" s="1"/>
      <c r="G337" s="30"/>
      <c r="H337" s="30"/>
      <c r="I337" s="1"/>
      <c r="J337" s="1"/>
      <c r="K337"/>
    </row>
    <row r="338" spans="1:11" s="4" customFormat="1" x14ac:dyDescent="0.25">
      <c r="B338" s="7" t="s">
        <v>143</v>
      </c>
      <c r="C338" s="1"/>
      <c r="D338" s="2"/>
      <c r="E338" s="1"/>
      <c r="F338" s="1"/>
      <c r="G338" s="30"/>
      <c r="H338" s="30"/>
      <c r="I338" s="1"/>
      <c r="J338" s="1"/>
      <c r="K338"/>
    </row>
    <row r="339" spans="1:11" s="4" customFormat="1" x14ac:dyDescent="0.25">
      <c r="B339" s="21"/>
      <c r="C339" s="17"/>
      <c r="D339" s="20"/>
      <c r="E339" s="21"/>
      <c r="F339" s="12"/>
      <c r="G339" s="30"/>
      <c r="H339" s="30"/>
      <c r="I339" s="1"/>
      <c r="J339" s="1"/>
      <c r="K339"/>
    </row>
    <row r="340" spans="1:11" s="4" customFormat="1" ht="15" x14ac:dyDescent="0.25">
      <c r="A340" s="39" t="s">
        <v>30</v>
      </c>
      <c r="B340" s="41" t="s">
        <v>31</v>
      </c>
      <c r="C340" s="35" t="s">
        <v>32</v>
      </c>
      <c r="D340" s="35"/>
      <c r="E340" s="35"/>
      <c r="F340" s="35" t="s">
        <v>36</v>
      </c>
      <c r="G340" s="35" t="s">
        <v>33</v>
      </c>
      <c r="H340" s="35"/>
      <c r="I340" s="36"/>
      <c r="J340" s="37" t="s">
        <v>1</v>
      </c>
    </row>
    <row r="341" spans="1:11" s="4" customFormat="1" ht="15" x14ac:dyDescent="0.25">
      <c r="A341" s="40"/>
      <c r="B341" s="41"/>
      <c r="C341" s="14" t="s">
        <v>34</v>
      </c>
      <c r="D341" s="13" t="s">
        <v>0</v>
      </c>
      <c r="E341" s="13" t="s">
        <v>35</v>
      </c>
      <c r="F341" s="35"/>
      <c r="G341" s="35"/>
      <c r="H341" s="35"/>
      <c r="I341" s="36"/>
      <c r="J341" s="38"/>
    </row>
    <row r="342" spans="1:11" s="4" customFormat="1" ht="15" x14ac:dyDescent="0.25">
      <c r="A342" s="1">
        <v>1</v>
      </c>
      <c r="B342" t="s">
        <v>2</v>
      </c>
      <c r="C342" s="1">
        <v>1</v>
      </c>
      <c r="D342" s="2">
        <v>9</v>
      </c>
      <c r="E342" s="1"/>
      <c r="F342" s="3">
        <v>2</v>
      </c>
      <c r="G342" s="1">
        <v>1</v>
      </c>
      <c r="H342" s="1" t="s">
        <v>4</v>
      </c>
      <c r="I342" s="1">
        <f>F342</f>
        <v>2</v>
      </c>
      <c r="J342" s="1" t="s">
        <v>93</v>
      </c>
    </row>
    <row r="343" spans="1:11" s="4" customFormat="1" ht="15" x14ac:dyDescent="0.25">
      <c r="A343" s="1">
        <v>2</v>
      </c>
      <c r="B343" t="s">
        <v>3</v>
      </c>
      <c r="C343" s="1">
        <v>1</v>
      </c>
      <c r="D343" s="2">
        <v>10</v>
      </c>
      <c r="E343" s="1"/>
      <c r="F343" s="3">
        <v>3</v>
      </c>
      <c r="G343" s="1">
        <f>I342+1</f>
        <v>3</v>
      </c>
      <c r="H343" s="1" t="s">
        <v>4</v>
      </c>
      <c r="I343" s="1">
        <f>I342+F343</f>
        <v>5</v>
      </c>
      <c r="J343" s="1" t="s">
        <v>42</v>
      </c>
    </row>
    <row r="344" spans="1:11" s="4" customFormat="1" ht="15" x14ac:dyDescent="0.25">
      <c r="A344" s="1">
        <v>3</v>
      </c>
      <c r="B344" t="s">
        <v>28</v>
      </c>
      <c r="C344" s="1">
        <v>1</v>
      </c>
      <c r="D344" s="2">
        <v>11</v>
      </c>
      <c r="E344" s="1"/>
      <c r="F344" s="3">
        <v>5</v>
      </c>
      <c r="G344" s="1">
        <f>I343+1</f>
        <v>6</v>
      </c>
      <c r="H344" s="1" t="s">
        <v>4</v>
      </c>
      <c r="I344" s="1">
        <f>I343+F344</f>
        <v>10</v>
      </c>
      <c r="J344" s="1"/>
    </row>
    <row r="345" spans="1:11" s="4" customFormat="1" ht="15" x14ac:dyDescent="0.25">
      <c r="A345" s="1">
        <v>4</v>
      </c>
      <c r="B345" t="s">
        <v>161</v>
      </c>
      <c r="C345" s="1">
        <v>1</v>
      </c>
      <c r="D345" s="2">
        <v>2</v>
      </c>
      <c r="E345" s="1"/>
      <c r="F345" s="3">
        <v>1</v>
      </c>
      <c r="G345" s="1">
        <f>I344+1</f>
        <v>11</v>
      </c>
      <c r="H345" s="1" t="s">
        <v>4</v>
      </c>
      <c r="I345" s="1">
        <f>I344+F345</f>
        <v>11</v>
      </c>
      <c r="J345" s="1"/>
    </row>
    <row r="346" spans="1:11" s="4" customFormat="1" ht="15" x14ac:dyDescent="0.25">
      <c r="A346" s="1">
        <v>5</v>
      </c>
      <c r="B346" t="s">
        <v>5</v>
      </c>
      <c r="C346" s="1">
        <v>1</v>
      </c>
      <c r="D346" s="2">
        <v>1</v>
      </c>
      <c r="E346" s="1"/>
      <c r="F346" s="3">
        <v>1</v>
      </c>
      <c r="G346" s="1">
        <f>I345+1</f>
        <v>12</v>
      </c>
      <c r="H346" s="1" t="s">
        <v>4</v>
      </c>
      <c r="I346" s="1">
        <f>I345+F346</f>
        <v>12</v>
      </c>
      <c r="J346" s="1"/>
    </row>
    <row r="347" spans="1:11" s="4" customFormat="1" ht="15" x14ac:dyDescent="0.25">
      <c r="A347" s="1">
        <v>6</v>
      </c>
      <c r="B347" t="s">
        <v>86</v>
      </c>
      <c r="C347" s="1">
        <v>1</v>
      </c>
      <c r="D347" s="2">
        <v>3</v>
      </c>
      <c r="E347" s="1"/>
      <c r="F347" s="3">
        <v>2</v>
      </c>
      <c r="G347" s="1">
        <f>I346+1</f>
        <v>13</v>
      </c>
      <c r="H347" s="1" t="s">
        <v>4</v>
      </c>
      <c r="I347" s="1">
        <f>I346+F347</f>
        <v>14</v>
      </c>
      <c r="J347" s="1"/>
    </row>
    <row r="348" spans="1:11" s="4" customFormat="1" ht="15" x14ac:dyDescent="0.25">
      <c r="A348" s="1">
        <v>7</v>
      </c>
      <c r="B348" t="s">
        <v>38</v>
      </c>
      <c r="C348" s="1"/>
      <c r="D348" s="2"/>
      <c r="E348" s="1"/>
      <c r="F348" s="3">
        <v>3</v>
      </c>
      <c r="G348" s="1">
        <f t="shared" ref="G348:G355" si="30">I347+1</f>
        <v>15</v>
      </c>
      <c r="H348" s="1" t="s">
        <v>4</v>
      </c>
      <c r="I348" s="1">
        <f t="shared" ref="I348:I355" si="31">I347+F348</f>
        <v>17</v>
      </c>
      <c r="J348" s="1" t="s">
        <v>91</v>
      </c>
    </row>
    <row r="349" spans="1:11" s="4" customFormat="1" ht="15" x14ac:dyDescent="0.25">
      <c r="A349" s="1">
        <v>8</v>
      </c>
      <c r="B349" t="s">
        <v>6</v>
      </c>
      <c r="C349" s="1"/>
      <c r="D349" s="2"/>
      <c r="E349" s="1"/>
      <c r="F349" s="3">
        <v>2</v>
      </c>
      <c r="G349" s="1">
        <f t="shared" si="30"/>
        <v>18</v>
      </c>
      <c r="H349" s="1" t="s">
        <v>4</v>
      </c>
      <c r="I349" s="1">
        <f t="shared" si="31"/>
        <v>19</v>
      </c>
      <c r="J349" s="1" t="s">
        <v>91</v>
      </c>
    </row>
    <row r="350" spans="1:11" s="4" customFormat="1" ht="15" x14ac:dyDescent="0.25">
      <c r="A350" s="1">
        <v>9</v>
      </c>
      <c r="B350" t="s">
        <v>7</v>
      </c>
      <c r="C350" s="1"/>
      <c r="D350" s="2"/>
      <c r="E350" s="1"/>
      <c r="F350" s="3">
        <v>2</v>
      </c>
      <c r="G350" s="1">
        <f t="shared" si="30"/>
        <v>20</v>
      </c>
      <c r="H350" s="1" t="s">
        <v>4</v>
      </c>
      <c r="I350" s="1">
        <f t="shared" si="31"/>
        <v>21</v>
      </c>
      <c r="J350" s="1" t="s">
        <v>91</v>
      </c>
    </row>
    <row r="351" spans="1:11" s="4" customFormat="1" ht="15" x14ac:dyDescent="0.25">
      <c r="A351" s="1">
        <v>10</v>
      </c>
      <c r="B351" t="s">
        <v>37</v>
      </c>
      <c r="C351" s="1"/>
      <c r="D351" s="2"/>
      <c r="E351" s="1"/>
      <c r="F351" s="3">
        <v>2</v>
      </c>
      <c r="G351" s="1">
        <f t="shared" si="30"/>
        <v>22</v>
      </c>
      <c r="H351" s="1" t="s">
        <v>4</v>
      </c>
      <c r="I351" s="1">
        <f t="shared" si="31"/>
        <v>23</v>
      </c>
      <c r="J351" s="1" t="s">
        <v>91</v>
      </c>
    </row>
    <row r="352" spans="1:11" s="4" customFormat="1" ht="15" x14ac:dyDescent="0.25">
      <c r="A352" s="1">
        <v>11</v>
      </c>
      <c r="B352" t="s">
        <v>8</v>
      </c>
      <c r="C352" s="1"/>
      <c r="D352" s="2"/>
      <c r="E352" s="1"/>
      <c r="F352" s="3">
        <v>1</v>
      </c>
      <c r="G352" s="1">
        <f t="shared" si="30"/>
        <v>24</v>
      </c>
      <c r="H352" s="1" t="s">
        <v>4</v>
      </c>
      <c r="I352" s="1">
        <f t="shared" si="31"/>
        <v>24</v>
      </c>
      <c r="J352" s="1" t="s">
        <v>91</v>
      </c>
    </row>
    <row r="353" spans="1:11" s="4" customFormat="1" ht="15" x14ac:dyDescent="0.25">
      <c r="A353" s="1">
        <v>12</v>
      </c>
      <c r="B353" t="s">
        <v>9</v>
      </c>
      <c r="C353" s="1"/>
      <c r="D353" s="2"/>
      <c r="E353" s="1"/>
      <c r="F353" s="3">
        <v>4</v>
      </c>
      <c r="G353" s="1">
        <f t="shared" si="30"/>
        <v>25</v>
      </c>
      <c r="H353" s="1" t="s">
        <v>4</v>
      </c>
      <c r="I353" s="1">
        <f t="shared" si="31"/>
        <v>28</v>
      </c>
      <c r="J353" s="1" t="s">
        <v>91</v>
      </c>
    </row>
    <row r="354" spans="1:11" s="4" customFormat="1" ht="15" x14ac:dyDescent="0.25">
      <c r="A354" s="1">
        <v>13</v>
      </c>
      <c r="B354" t="s">
        <v>87</v>
      </c>
      <c r="C354" s="1">
        <v>1</v>
      </c>
      <c r="D354" s="2">
        <v>8</v>
      </c>
      <c r="E354" s="1"/>
      <c r="F354" s="3">
        <v>2</v>
      </c>
      <c r="G354" s="1">
        <f t="shared" si="30"/>
        <v>29</v>
      </c>
      <c r="H354" s="1" t="s">
        <v>4</v>
      </c>
      <c r="I354" s="1">
        <f t="shared" si="31"/>
        <v>30</v>
      </c>
      <c r="J354" s="1"/>
    </row>
    <row r="355" spans="1:11" s="4" customFormat="1" ht="15" x14ac:dyDescent="0.25">
      <c r="A355" s="1">
        <v>14</v>
      </c>
      <c r="B355" t="s">
        <v>88</v>
      </c>
      <c r="C355" s="1">
        <v>1</v>
      </c>
      <c r="D355" s="2">
        <v>12</v>
      </c>
      <c r="E355" s="1"/>
      <c r="F355" s="3">
        <v>1</v>
      </c>
      <c r="G355" s="1">
        <f t="shared" si="30"/>
        <v>31</v>
      </c>
      <c r="H355" s="1" t="s">
        <v>4</v>
      </c>
      <c r="I355" s="1">
        <f t="shared" si="31"/>
        <v>31</v>
      </c>
      <c r="J355" s="1"/>
    </row>
    <row r="356" spans="1:11" s="4" customFormat="1" ht="15" x14ac:dyDescent="0.25">
      <c r="A356" s="1">
        <v>15</v>
      </c>
      <c r="B356" t="s">
        <v>21</v>
      </c>
      <c r="C356" s="1">
        <v>1</v>
      </c>
      <c r="D356" s="2">
        <v>13</v>
      </c>
      <c r="E356" s="1"/>
      <c r="F356" s="3">
        <v>1</v>
      </c>
      <c r="G356" s="1">
        <f t="shared" ref="G356:G377" si="32">I355+1</f>
        <v>32</v>
      </c>
      <c r="H356" s="1" t="s">
        <v>4</v>
      </c>
      <c r="I356" s="1">
        <f t="shared" ref="I356:I377" si="33">I355+F356</f>
        <v>32</v>
      </c>
      <c r="J356" s="1"/>
    </row>
    <row r="357" spans="1:11" s="4" customFormat="1" ht="15" x14ac:dyDescent="0.25">
      <c r="A357" s="1">
        <v>16</v>
      </c>
      <c r="B357" t="s">
        <v>22</v>
      </c>
      <c r="C357" s="1">
        <v>1</v>
      </c>
      <c r="D357" s="2">
        <v>14</v>
      </c>
      <c r="E357" s="1"/>
      <c r="F357" s="3">
        <v>2</v>
      </c>
      <c r="G357" s="1">
        <f t="shared" si="32"/>
        <v>33</v>
      </c>
      <c r="H357" s="1" t="s">
        <v>4</v>
      </c>
      <c r="I357" s="1">
        <f t="shared" si="33"/>
        <v>34</v>
      </c>
      <c r="J357" s="12"/>
    </row>
    <row r="358" spans="1:11" s="4" customFormat="1" ht="15" x14ac:dyDescent="0.25">
      <c r="A358" s="1">
        <v>17</v>
      </c>
      <c r="B358" t="s">
        <v>89</v>
      </c>
      <c r="C358" s="1"/>
      <c r="D358" s="2"/>
      <c r="E358" s="1"/>
      <c r="F358" s="3">
        <v>2</v>
      </c>
      <c r="G358" s="1">
        <f t="shared" si="32"/>
        <v>35</v>
      </c>
      <c r="H358" s="1" t="s">
        <v>4</v>
      </c>
      <c r="I358" s="1">
        <f t="shared" si="33"/>
        <v>36</v>
      </c>
      <c r="J358" s="1" t="s">
        <v>27</v>
      </c>
      <c r="K358"/>
    </row>
    <row r="359" spans="1:11" s="4" customFormat="1" ht="15" x14ac:dyDescent="0.25">
      <c r="A359" s="1">
        <v>18</v>
      </c>
      <c r="B359" t="s">
        <v>49</v>
      </c>
      <c r="C359" s="1">
        <v>7</v>
      </c>
      <c r="D359" s="2"/>
      <c r="E359" s="1">
        <v>1</v>
      </c>
      <c r="F359" s="3">
        <v>2</v>
      </c>
      <c r="G359" s="1">
        <f t="shared" si="32"/>
        <v>37</v>
      </c>
      <c r="H359" s="1" t="s">
        <v>4</v>
      </c>
      <c r="I359" s="1">
        <f t="shared" si="33"/>
        <v>38</v>
      </c>
      <c r="J359" s="1"/>
      <c r="K359"/>
    </row>
    <row r="360" spans="1:11" s="4" customFormat="1" ht="15" x14ac:dyDescent="0.25">
      <c r="A360" s="1">
        <v>19</v>
      </c>
      <c r="B360" t="s">
        <v>46</v>
      </c>
      <c r="C360" s="1">
        <v>7</v>
      </c>
      <c r="D360" s="2"/>
      <c r="E360" s="1">
        <v>2</v>
      </c>
      <c r="F360" s="3">
        <v>2</v>
      </c>
      <c r="G360" s="1">
        <f t="shared" si="32"/>
        <v>39</v>
      </c>
      <c r="H360" s="1" t="s">
        <v>4</v>
      </c>
      <c r="I360" s="1">
        <f t="shared" si="33"/>
        <v>40</v>
      </c>
      <c r="J360" s="1"/>
      <c r="K360"/>
    </row>
    <row r="361" spans="1:11" s="4" customFormat="1" ht="15" x14ac:dyDescent="0.25">
      <c r="A361" s="1">
        <v>20</v>
      </c>
      <c r="B361" s="31" t="s">
        <v>152</v>
      </c>
      <c r="C361" s="2">
        <v>7</v>
      </c>
      <c r="D361" s="2"/>
      <c r="E361" s="2">
        <v>3</v>
      </c>
      <c r="F361" s="32">
        <v>1</v>
      </c>
      <c r="G361" s="1">
        <f t="shared" si="32"/>
        <v>41</v>
      </c>
      <c r="H361" s="1" t="s">
        <v>4</v>
      </c>
      <c r="I361" s="1">
        <f t="shared" si="33"/>
        <v>41</v>
      </c>
      <c r="J361" s="1"/>
      <c r="K361"/>
    </row>
    <row r="362" spans="1:11" s="4" customFormat="1" ht="15" x14ac:dyDescent="0.25">
      <c r="A362" s="1">
        <v>21</v>
      </c>
      <c r="B362" t="s">
        <v>78</v>
      </c>
      <c r="C362" s="1">
        <v>7</v>
      </c>
      <c r="D362" s="2"/>
      <c r="E362" s="1">
        <v>4</v>
      </c>
      <c r="F362" s="3">
        <v>7</v>
      </c>
      <c r="G362" s="1">
        <f t="shared" si="32"/>
        <v>42</v>
      </c>
      <c r="H362" s="1" t="s">
        <v>4</v>
      </c>
      <c r="I362" s="1">
        <f t="shared" si="33"/>
        <v>48</v>
      </c>
      <c r="J362" s="1"/>
      <c r="K362"/>
    </row>
    <row r="363" spans="1:11" s="4" customFormat="1" ht="15" x14ac:dyDescent="0.25">
      <c r="A363" s="1">
        <v>22</v>
      </c>
      <c r="B363" t="s">
        <v>79</v>
      </c>
      <c r="C363" s="1">
        <v>7</v>
      </c>
      <c r="D363" s="2"/>
      <c r="E363" s="1">
        <v>5</v>
      </c>
      <c r="F363" s="3">
        <v>7</v>
      </c>
      <c r="G363" s="1">
        <f t="shared" si="32"/>
        <v>49</v>
      </c>
      <c r="H363" s="1" t="s">
        <v>4</v>
      </c>
      <c r="I363" s="1">
        <f t="shared" si="33"/>
        <v>55</v>
      </c>
      <c r="J363" s="1"/>
      <c r="K363"/>
    </row>
    <row r="364" spans="1:11" s="4" customFormat="1" ht="15" x14ac:dyDescent="0.25">
      <c r="A364" s="1">
        <v>23</v>
      </c>
      <c r="B364" t="s">
        <v>80</v>
      </c>
      <c r="C364" s="1">
        <v>7</v>
      </c>
      <c r="D364" s="2"/>
      <c r="E364" s="1">
        <v>6</v>
      </c>
      <c r="F364" s="3">
        <v>7</v>
      </c>
      <c r="G364" s="1">
        <f t="shared" si="32"/>
        <v>56</v>
      </c>
      <c r="H364" s="1" t="s">
        <v>4</v>
      </c>
      <c r="I364" s="1">
        <f t="shared" si="33"/>
        <v>62</v>
      </c>
      <c r="J364" s="1"/>
      <c r="K364"/>
    </row>
    <row r="365" spans="1:11" s="4" customFormat="1" ht="15" x14ac:dyDescent="0.25">
      <c r="A365" s="1">
        <v>24</v>
      </c>
      <c r="B365" t="s">
        <v>81</v>
      </c>
      <c r="C365" s="1">
        <v>7</v>
      </c>
      <c r="D365" s="2"/>
      <c r="E365" s="1">
        <v>7</v>
      </c>
      <c r="F365" s="3">
        <v>7</v>
      </c>
      <c r="G365" s="1">
        <f t="shared" si="32"/>
        <v>63</v>
      </c>
      <c r="H365" s="1" t="s">
        <v>4</v>
      </c>
      <c r="I365" s="1">
        <f t="shared" si="33"/>
        <v>69</v>
      </c>
      <c r="J365" s="12"/>
      <c r="K365"/>
    </row>
    <row r="366" spans="1:11" s="4" customFormat="1" ht="15" x14ac:dyDescent="0.25">
      <c r="A366" s="1">
        <v>25</v>
      </c>
      <c r="B366" t="s">
        <v>82</v>
      </c>
      <c r="C366" s="1">
        <v>7</v>
      </c>
      <c r="D366" s="2"/>
      <c r="E366" s="1">
        <v>8</v>
      </c>
      <c r="F366" s="3">
        <v>7</v>
      </c>
      <c r="G366" s="1">
        <f t="shared" si="32"/>
        <v>70</v>
      </c>
      <c r="H366" s="1" t="s">
        <v>4</v>
      </c>
      <c r="I366" s="1">
        <f t="shared" si="33"/>
        <v>76</v>
      </c>
      <c r="J366" s="12"/>
      <c r="K366"/>
    </row>
    <row r="367" spans="1:11" s="4" customFormat="1" ht="15" x14ac:dyDescent="0.25">
      <c r="A367" s="1">
        <v>26</v>
      </c>
      <c r="B367" t="s">
        <v>131</v>
      </c>
      <c r="C367" s="1">
        <v>7</v>
      </c>
      <c r="D367" s="2"/>
      <c r="E367" s="1">
        <v>9</v>
      </c>
      <c r="F367" s="3">
        <v>7</v>
      </c>
      <c r="G367" s="1">
        <f t="shared" si="32"/>
        <v>77</v>
      </c>
      <c r="H367" s="1" t="s">
        <v>4</v>
      </c>
      <c r="I367" s="1">
        <f t="shared" si="33"/>
        <v>83</v>
      </c>
      <c r="J367" s="1"/>
      <c r="K367"/>
    </row>
    <row r="368" spans="1:11" s="4" customFormat="1" ht="15" x14ac:dyDescent="0.25">
      <c r="A368" s="1">
        <v>27</v>
      </c>
      <c r="B368" t="s">
        <v>132</v>
      </c>
      <c r="C368" s="1">
        <v>7</v>
      </c>
      <c r="D368" s="2"/>
      <c r="E368" s="1">
        <v>10</v>
      </c>
      <c r="F368" s="3">
        <v>7</v>
      </c>
      <c r="G368" s="1">
        <f t="shared" si="32"/>
        <v>84</v>
      </c>
      <c r="H368" s="1" t="s">
        <v>4</v>
      </c>
      <c r="I368" s="1">
        <f t="shared" si="33"/>
        <v>90</v>
      </c>
      <c r="J368" s="1"/>
      <c r="K368"/>
    </row>
    <row r="369" spans="1:11" s="4" customFormat="1" ht="15" x14ac:dyDescent="0.25">
      <c r="A369" s="1">
        <v>28</v>
      </c>
      <c r="B369" t="s">
        <v>112</v>
      </c>
      <c r="C369" s="1">
        <v>7</v>
      </c>
      <c r="D369" s="2"/>
      <c r="E369" s="1">
        <v>11</v>
      </c>
      <c r="F369" s="3">
        <v>7</v>
      </c>
      <c r="G369" s="1">
        <f t="shared" si="32"/>
        <v>91</v>
      </c>
      <c r="H369" s="1" t="s">
        <v>4</v>
      </c>
      <c r="I369" s="1">
        <f t="shared" si="33"/>
        <v>97</v>
      </c>
      <c r="J369" s="1"/>
      <c r="K369"/>
    </row>
    <row r="370" spans="1:11" s="4" customFormat="1" ht="15" x14ac:dyDescent="0.25">
      <c r="A370" s="1">
        <v>29</v>
      </c>
      <c r="B370" t="s">
        <v>133</v>
      </c>
      <c r="C370" s="1">
        <v>7</v>
      </c>
      <c r="D370" s="20"/>
      <c r="E370" s="17">
        <v>12</v>
      </c>
      <c r="F370" s="3">
        <v>7</v>
      </c>
      <c r="G370" s="1">
        <f t="shared" si="32"/>
        <v>98</v>
      </c>
      <c r="H370" s="1" t="s">
        <v>4</v>
      </c>
      <c r="I370" s="1">
        <f t="shared" si="33"/>
        <v>104</v>
      </c>
      <c r="J370" s="1"/>
      <c r="K370"/>
    </row>
    <row r="371" spans="1:11" s="4" customFormat="1" ht="15" x14ac:dyDescent="0.25">
      <c r="A371" s="1">
        <v>30</v>
      </c>
      <c r="B371" t="s">
        <v>134</v>
      </c>
      <c r="C371" s="1">
        <v>7</v>
      </c>
      <c r="D371" s="20"/>
      <c r="E371" s="17">
        <v>13</v>
      </c>
      <c r="F371" s="3">
        <v>7</v>
      </c>
      <c r="G371" s="1">
        <f t="shared" si="32"/>
        <v>105</v>
      </c>
      <c r="H371" s="1" t="s">
        <v>4</v>
      </c>
      <c r="I371" s="1">
        <f t="shared" si="33"/>
        <v>111</v>
      </c>
      <c r="J371" s="1"/>
      <c r="K371"/>
    </row>
    <row r="372" spans="1:11" s="4" customFormat="1" ht="15" x14ac:dyDescent="0.25">
      <c r="A372" s="1">
        <v>31</v>
      </c>
      <c r="B372" t="s">
        <v>135</v>
      </c>
      <c r="C372" s="1">
        <v>7</v>
      </c>
      <c r="D372" s="2"/>
      <c r="E372" s="1">
        <v>14</v>
      </c>
      <c r="F372" s="3">
        <v>1</v>
      </c>
      <c r="G372" s="1">
        <f t="shared" si="32"/>
        <v>112</v>
      </c>
      <c r="H372" s="1" t="s">
        <v>4</v>
      </c>
      <c r="I372" s="1">
        <f t="shared" si="33"/>
        <v>112</v>
      </c>
      <c r="J372" s="1"/>
      <c r="K372"/>
    </row>
    <row r="373" spans="1:11" s="4" customFormat="1" ht="15" x14ac:dyDescent="0.25">
      <c r="A373" s="1">
        <v>32</v>
      </c>
      <c r="B373" t="s">
        <v>136</v>
      </c>
      <c r="C373" s="1">
        <v>7</v>
      </c>
      <c r="D373" s="2"/>
      <c r="E373" s="1">
        <v>15</v>
      </c>
      <c r="F373" s="3">
        <v>1</v>
      </c>
      <c r="G373" s="1">
        <f t="shared" si="32"/>
        <v>113</v>
      </c>
      <c r="H373" s="1" t="s">
        <v>4</v>
      </c>
      <c r="I373" s="1">
        <f t="shared" si="33"/>
        <v>113</v>
      </c>
      <c r="J373" s="1"/>
      <c r="K373"/>
    </row>
    <row r="374" spans="1:11" s="4" customFormat="1" ht="15" x14ac:dyDescent="0.25">
      <c r="A374" s="1">
        <v>33</v>
      </c>
      <c r="B374" t="s">
        <v>137</v>
      </c>
      <c r="C374" s="1">
        <v>7</v>
      </c>
      <c r="D374" s="2"/>
      <c r="E374" s="1">
        <v>16</v>
      </c>
      <c r="F374" s="3">
        <v>1</v>
      </c>
      <c r="G374" s="1">
        <f t="shared" si="32"/>
        <v>114</v>
      </c>
      <c r="H374" s="1" t="s">
        <v>4</v>
      </c>
      <c r="I374" s="1">
        <f t="shared" si="33"/>
        <v>114</v>
      </c>
      <c r="J374" s="1"/>
      <c r="K374"/>
    </row>
    <row r="375" spans="1:11" s="4" customFormat="1" ht="15" x14ac:dyDescent="0.25">
      <c r="A375" s="1">
        <v>34</v>
      </c>
      <c r="B375" t="s">
        <v>138</v>
      </c>
      <c r="C375" s="1">
        <v>7</v>
      </c>
      <c r="D375" s="2"/>
      <c r="E375" s="1">
        <v>17</v>
      </c>
      <c r="F375" s="3">
        <v>1</v>
      </c>
      <c r="G375" s="1">
        <f t="shared" si="32"/>
        <v>115</v>
      </c>
      <c r="H375" s="1" t="s">
        <v>4</v>
      </c>
      <c r="I375" s="1">
        <f t="shared" si="33"/>
        <v>115</v>
      </c>
      <c r="J375" s="1"/>
      <c r="K375"/>
    </row>
    <row r="376" spans="1:11" s="4" customFormat="1" ht="15" x14ac:dyDescent="0.25">
      <c r="A376" s="1">
        <v>35</v>
      </c>
      <c r="B376" t="s">
        <v>156</v>
      </c>
      <c r="C376" s="1">
        <v>7</v>
      </c>
      <c r="D376" s="2"/>
      <c r="E376" s="1">
        <v>18</v>
      </c>
      <c r="F376" s="3">
        <v>1</v>
      </c>
      <c r="G376" s="1">
        <f t="shared" si="32"/>
        <v>116</v>
      </c>
      <c r="H376" s="1" t="s">
        <v>4</v>
      </c>
      <c r="I376" s="1">
        <f t="shared" si="33"/>
        <v>116</v>
      </c>
      <c r="J376" s="1"/>
      <c r="K376"/>
    </row>
    <row r="377" spans="1:11" s="4" customFormat="1" ht="15" x14ac:dyDescent="0.25">
      <c r="A377" s="1">
        <v>36</v>
      </c>
      <c r="B377" s="4" t="s">
        <v>96</v>
      </c>
      <c r="C377" s="1"/>
      <c r="D377" s="2"/>
      <c r="E377" s="1"/>
      <c r="F377" s="3">
        <v>10</v>
      </c>
      <c r="G377" s="1">
        <f t="shared" si="32"/>
        <v>117</v>
      </c>
      <c r="H377" s="1" t="s">
        <v>4</v>
      </c>
      <c r="I377" s="1">
        <f t="shared" si="33"/>
        <v>126</v>
      </c>
      <c r="J377" s="1"/>
      <c r="K377"/>
    </row>
    <row r="378" spans="1:11" s="5" customFormat="1" ht="15" x14ac:dyDescent="0.25">
      <c r="A378" s="4"/>
      <c r="B378" s="4"/>
      <c r="C378" s="1"/>
      <c r="D378" s="2"/>
      <c r="E378" s="1"/>
      <c r="F378" s="1"/>
      <c r="G378" s="1"/>
      <c r="H378" s="1"/>
      <c r="I378" s="1"/>
      <c r="J378" s="22"/>
      <c r="K378"/>
    </row>
    <row r="379" spans="1:11" s="4" customFormat="1" ht="15" x14ac:dyDescent="0.25">
      <c r="C379" s="1"/>
      <c r="D379" s="2"/>
      <c r="E379" s="1"/>
      <c r="F379" s="1"/>
      <c r="G379" s="1"/>
      <c r="H379" s="1"/>
      <c r="I379" s="1"/>
      <c r="J379" s="1"/>
      <c r="K379"/>
    </row>
    <row r="380" spans="1:11" s="4" customFormat="1" ht="15" x14ac:dyDescent="0.25">
      <c r="C380" s="1"/>
      <c r="D380" s="2"/>
      <c r="E380" s="1"/>
      <c r="F380" s="1"/>
      <c r="G380" s="1"/>
      <c r="H380" s="1"/>
      <c r="I380" s="1"/>
      <c r="J380" s="1"/>
      <c r="K380"/>
    </row>
    <row r="381" spans="1:11" s="4" customFormat="1" ht="15" x14ac:dyDescent="0.25">
      <c r="C381" s="1"/>
      <c r="D381" s="2"/>
      <c r="E381" s="1"/>
      <c r="F381" s="1"/>
      <c r="G381" s="1"/>
      <c r="H381" s="1"/>
      <c r="I381" s="1"/>
      <c r="J381" s="1"/>
      <c r="K381"/>
    </row>
    <row r="382" spans="1:11" s="4" customFormat="1" ht="15" x14ac:dyDescent="0.25">
      <c r="C382" s="1"/>
      <c r="D382" s="2"/>
      <c r="E382" s="1"/>
      <c r="F382" s="1"/>
      <c r="G382" s="1"/>
      <c r="H382" s="1"/>
      <c r="I382" s="1"/>
      <c r="J382" s="1"/>
    </row>
    <row r="383" spans="1:11" s="4" customFormat="1" ht="15" x14ac:dyDescent="0.25">
      <c r="C383" s="1"/>
      <c r="D383" s="2"/>
      <c r="E383" s="1"/>
      <c r="F383" s="1"/>
      <c r="G383" s="1"/>
      <c r="H383" s="1"/>
      <c r="I383" s="1"/>
      <c r="J383" s="1"/>
    </row>
    <row r="384" spans="1:11" s="4" customFormat="1" ht="15" x14ac:dyDescent="0.25">
      <c r="C384" s="1"/>
      <c r="D384" s="2"/>
      <c r="E384" s="1"/>
      <c r="F384" s="1"/>
      <c r="G384" s="1"/>
      <c r="H384" s="1"/>
      <c r="I384" s="1"/>
      <c r="J384" s="12"/>
    </row>
    <row r="385" spans="1:10" s="4" customFormat="1" ht="15" x14ac:dyDescent="0.25">
      <c r="C385" s="1"/>
      <c r="D385" s="2"/>
      <c r="E385" s="1"/>
      <c r="F385" s="1"/>
      <c r="G385" s="1"/>
      <c r="H385" s="1"/>
      <c r="I385" s="1"/>
      <c r="J385" s="12"/>
    </row>
    <row r="386" spans="1:10" s="4" customFormat="1" ht="15" x14ac:dyDescent="0.25">
      <c r="C386" s="1"/>
      <c r="D386" s="2"/>
      <c r="E386" s="1"/>
      <c r="F386" s="1"/>
      <c r="G386" s="1"/>
      <c r="H386" s="1"/>
      <c r="I386" s="1"/>
      <c r="J386" s="1"/>
    </row>
    <row r="387" spans="1:10" s="4" customFormat="1" ht="15" x14ac:dyDescent="0.25">
      <c r="C387" s="1"/>
      <c r="D387" s="2"/>
      <c r="E387" s="1"/>
      <c r="F387" s="1"/>
      <c r="G387" s="1"/>
      <c r="H387" s="1"/>
      <c r="I387" s="1"/>
      <c r="J387" s="1"/>
    </row>
    <row r="388" spans="1:10" s="4" customFormat="1" ht="15" x14ac:dyDescent="0.25">
      <c r="C388" s="1"/>
      <c r="D388" s="2"/>
      <c r="E388" s="1"/>
      <c r="F388" s="1"/>
      <c r="G388" s="1"/>
      <c r="H388" s="1"/>
      <c r="I388" s="1"/>
      <c r="J388" s="1"/>
    </row>
    <row r="389" spans="1:10" s="4" customFormat="1" ht="15" x14ac:dyDescent="0.25">
      <c r="C389" s="1"/>
      <c r="D389" s="2"/>
      <c r="E389" s="1"/>
      <c r="F389" s="1"/>
      <c r="G389" s="1"/>
      <c r="H389" s="1"/>
      <c r="I389" s="1"/>
      <c r="J389" s="1"/>
    </row>
    <row r="390" spans="1:10" s="4" customFormat="1" ht="15" x14ac:dyDescent="0.25">
      <c r="C390" s="1"/>
      <c r="D390" s="2"/>
      <c r="E390" s="1"/>
      <c r="F390" s="1"/>
      <c r="G390" s="1"/>
      <c r="H390" s="1"/>
      <c r="I390" s="1"/>
      <c r="J390" s="1"/>
    </row>
    <row r="391" spans="1:10" s="4" customFormat="1" ht="15" x14ac:dyDescent="0.25">
      <c r="C391" s="1"/>
      <c r="D391" s="2"/>
      <c r="E391" s="1"/>
      <c r="F391" s="1"/>
      <c r="G391" s="1"/>
      <c r="H391" s="1"/>
      <c r="I391" s="1"/>
      <c r="J391" s="1"/>
    </row>
    <row r="392" spans="1:10" s="4" customFormat="1" ht="15" x14ac:dyDescent="0.25">
      <c r="B392" s="21"/>
      <c r="C392" s="1"/>
      <c r="D392" s="20"/>
      <c r="E392" s="21"/>
      <c r="F392" s="12"/>
      <c r="G392" s="1"/>
      <c r="H392" s="1"/>
      <c r="I392" s="1"/>
      <c r="J392" s="1"/>
    </row>
    <row r="393" spans="1:10" s="4" customFormat="1" ht="15" x14ac:dyDescent="0.25">
      <c r="B393" s="21"/>
      <c r="C393" s="1"/>
      <c r="D393" s="20"/>
      <c r="E393" s="21"/>
      <c r="F393" s="12"/>
      <c r="G393" s="1"/>
      <c r="H393" s="1"/>
      <c r="I393" s="1"/>
      <c r="J393" s="1"/>
    </row>
    <row r="394" spans="1:10" s="4" customFormat="1" ht="15" x14ac:dyDescent="0.25">
      <c r="B394" s="1"/>
      <c r="C394" s="1"/>
      <c r="D394" s="2"/>
      <c r="E394" s="1"/>
      <c r="F394" s="1"/>
      <c r="G394" s="1"/>
      <c r="H394" s="1"/>
      <c r="I394" s="1"/>
      <c r="J394" s="1"/>
    </row>
    <row r="395" spans="1:10" s="4" customFormat="1" ht="15" x14ac:dyDescent="0.25">
      <c r="B395" s="1"/>
      <c r="C395" s="1"/>
      <c r="D395" s="2"/>
      <c r="E395" s="1"/>
      <c r="F395" s="1"/>
      <c r="G395" s="1"/>
      <c r="H395" s="1"/>
      <c r="I395" s="1"/>
      <c r="J395" s="1"/>
    </row>
    <row r="396" spans="1:10" s="4" customFormat="1" ht="15" x14ac:dyDescent="0.25">
      <c r="B396" s="1"/>
      <c r="C396" s="1"/>
      <c r="D396" s="2"/>
      <c r="E396" s="1"/>
      <c r="F396" s="1"/>
      <c r="G396" s="1"/>
      <c r="H396" s="1"/>
      <c r="I396" s="1"/>
      <c r="J396" s="1"/>
    </row>
    <row r="397" spans="1:10" s="4" customFormat="1" ht="15" x14ac:dyDescent="0.25">
      <c r="C397" s="1"/>
      <c r="D397" s="2"/>
      <c r="E397" s="1"/>
      <c r="F397" s="1"/>
      <c r="G397" s="1"/>
      <c r="H397" s="1"/>
      <c r="I397" s="1"/>
      <c r="J397" s="1"/>
    </row>
    <row r="398" spans="1:10" s="4" customFormat="1" x14ac:dyDescent="0.25">
      <c r="C398" s="1"/>
      <c r="D398" s="2"/>
      <c r="E398" s="1"/>
      <c r="F398" s="1"/>
      <c r="G398" s="30"/>
      <c r="H398" s="30"/>
      <c r="I398" s="1"/>
      <c r="J398" s="1"/>
    </row>
    <row r="399" spans="1:10" s="4" customFormat="1" x14ac:dyDescent="0.25">
      <c r="C399" s="1"/>
      <c r="D399" s="2"/>
      <c r="E399" s="1"/>
      <c r="F399" s="1"/>
      <c r="G399" s="30"/>
      <c r="H399" s="30"/>
      <c r="I399" s="1"/>
      <c r="J399" s="1"/>
    </row>
    <row r="400" spans="1:10" s="4" customFormat="1" x14ac:dyDescent="0.25">
      <c r="A400" s="21"/>
      <c r="C400" s="1"/>
      <c r="D400" s="2"/>
      <c r="E400" s="1"/>
      <c r="F400" s="1"/>
      <c r="G400" s="30"/>
      <c r="H400" s="30"/>
      <c r="I400" s="1"/>
      <c r="J400" s="12"/>
    </row>
    <row r="401" spans="1:10" s="4" customFormat="1" x14ac:dyDescent="0.25">
      <c r="A401" s="21"/>
      <c r="C401" s="1"/>
      <c r="D401" s="2"/>
      <c r="E401" s="1"/>
      <c r="F401" s="1"/>
      <c r="G401" s="30"/>
      <c r="H401" s="30"/>
      <c r="I401" s="1"/>
      <c r="J401" s="12"/>
    </row>
    <row r="402" spans="1:10" s="4" customFormat="1" x14ac:dyDescent="0.25">
      <c r="A402" s="1"/>
      <c r="C402" s="1"/>
      <c r="D402" s="2"/>
      <c r="E402" s="1"/>
      <c r="F402" s="1"/>
      <c r="G402" s="30"/>
      <c r="H402" s="30"/>
      <c r="I402" s="1"/>
      <c r="J402" s="1"/>
    </row>
    <row r="403" spans="1:10" s="4" customFormat="1" x14ac:dyDescent="0.25">
      <c r="A403" s="1"/>
      <c r="B403" s="33"/>
      <c r="C403" s="30"/>
      <c r="D403" s="34"/>
      <c r="E403" s="30"/>
      <c r="F403" s="30"/>
      <c r="G403" s="30"/>
      <c r="H403" s="30"/>
      <c r="I403" s="1"/>
      <c r="J403" s="1"/>
    </row>
    <row r="404" spans="1:10" s="4" customFormat="1" x14ac:dyDescent="0.25">
      <c r="A404" s="1"/>
      <c r="B404" s="33"/>
      <c r="C404" s="30"/>
      <c r="D404" s="34"/>
      <c r="E404" s="30"/>
      <c r="F404" s="30"/>
      <c r="G404" s="30"/>
      <c r="H404" s="30"/>
      <c r="I404" s="12"/>
      <c r="J404" s="1"/>
    </row>
    <row r="405" spans="1:10" s="4" customFormat="1" x14ac:dyDescent="0.25">
      <c r="B405" s="33"/>
      <c r="C405" s="30"/>
      <c r="D405" s="34"/>
      <c r="E405" s="30"/>
      <c r="F405" s="30"/>
      <c r="G405" s="30"/>
      <c r="H405" s="30"/>
      <c r="I405" s="12"/>
      <c r="J405" s="1"/>
    </row>
    <row r="406" spans="1:10" s="4" customFormat="1" x14ac:dyDescent="0.25">
      <c r="B406" s="33"/>
      <c r="C406" s="30"/>
      <c r="D406" s="34"/>
      <c r="E406" s="30"/>
      <c r="F406" s="30"/>
      <c r="G406" s="30"/>
      <c r="H406" s="30"/>
      <c r="I406" s="1"/>
      <c r="J406" s="1"/>
    </row>
    <row r="407" spans="1:10" s="4" customFormat="1" x14ac:dyDescent="0.25">
      <c r="B407" s="33"/>
      <c r="C407" s="30"/>
      <c r="D407" s="34"/>
      <c r="E407" s="30"/>
      <c r="F407" s="30"/>
      <c r="G407" s="30"/>
      <c r="H407" s="30"/>
      <c r="I407" s="1"/>
      <c r="J407" s="1"/>
    </row>
    <row r="408" spans="1:10" s="4" customFormat="1" x14ac:dyDescent="0.25">
      <c r="B408" s="33"/>
      <c r="C408" s="30"/>
      <c r="D408" s="34"/>
      <c r="E408" s="30"/>
      <c r="F408" s="30"/>
      <c r="G408" s="30"/>
      <c r="H408" s="30"/>
      <c r="I408" s="1"/>
      <c r="J408" s="1"/>
    </row>
    <row r="409" spans="1:10" s="4" customFormat="1" x14ac:dyDescent="0.25">
      <c r="B409" s="33"/>
      <c r="C409" s="30"/>
      <c r="D409" s="34"/>
      <c r="E409" s="30"/>
      <c r="F409" s="30"/>
      <c r="G409" s="30"/>
      <c r="H409" s="30"/>
      <c r="I409" s="1"/>
      <c r="J409" s="1"/>
    </row>
    <row r="410" spans="1:10" s="4" customFormat="1" x14ac:dyDescent="0.25">
      <c r="B410" s="33"/>
      <c r="C410" s="30"/>
      <c r="D410" s="34"/>
      <c r="E410" s="30"/>
      <c r="F410" s="30"/>
      <c r="G410" s="30"/>
      <c r="H410" s="30"/>
      <c r="I410" s="1"/>
      <c r="J410" s="1"/>
    </row>
    <row r="411" spans="1:10" s="4" customFormat="1" x14ac:dyDescent="0.25">
      <c r="B411" s="33"/>
      <c r="C411" s="30"/>
      <c r="D411" s="34"/>
      <c r="E411" s="30"/>
      <c r="F411" s="30"/>
      <c r="G411" s="30"/>
      <c r="H411" s="30"/>
      <c r="I411" s="1"/>
      <c r="J411" s="1"/>
    </row>
    <row r="412" spans="1:10" s="4" customFormat="1" x14ac:dyDescent="0.25">
      <c r="B412" s="33"/>
      <c r="C412" s="30"/>
      <c r="D412" s="34"/>
      <c r="E412" s="30"/>
      <c r="F412" s="30"/>
      <c r="G412" s="30"/>
      <c r="H412" s="30"/>
      <c r="I412" s="1"/>
      <c r="J412" s="1"/>
    </row>
    <row r="413" spans="1:10" s="4" customFormat="1" x14ac:dyDescent="0.25">
      <c r="B413" s="33"/>
      <c r="C413" s="30"/>
      <c r="D413" s="34"/>
      <c r="E413" s="30"/>
      <c r="F413" s="30"/>
      <c r="G413" s="30"/>
      <c r="H413" s="30"/>
      <c r="I413" s="1"/>
      <c r="J413" s="1"/>
    </row>
    <row r="414" spans="1:10" s="4" customFormat="1" x14ac:dyDescent="0.25">
      <c r="B414" s="33"/>
      <c r="C414" s="30"/>
      <c r="D414" s="34"/>
      <c r="E414" s="30"/>
      <c r="F414" s="30"/>
      <c r="G414" s="30"/>
      <c r="H414" s="30"/>
      <c r="I414" s="1"/>
      <c r="J414" s="1"/>
    </row>
    <row r="415" spans="1:10" s="4" customFormat="1" x14ac:dyDescent="0.25">
      <c r="B415" s="33"/>
      <c r="C415" s="30"/>
      <c r="D415" s="34"/>
      <c r="E415" s="30"/>
      <c r="F415" s="30"/>
      <c r="G415" s="30"/>
      <c r="H415" s="30"/>
      <c r="I415" s="30"/>
      <c r="J415" s="1"/>
    </row>
    <row r="416" spans="1:10" s="4" customFormat="1" x14ac:dyDescent="0.25">
      <c r="B416" s="33"/>
      <c r="C416" s="30"/>
      <c r="D416" s="34"/>
      <c r="E416" s="30"/>
      <c r="F416" s="30"/>
      <c r="G416" s="30"/>
      <c r="H416" s="30"/>
      <c r="I416" s="30"/>
      <c r="J416" s="1"/>
    </row>
    <row r="417" spans="1:10" s="4" customFormat="1" x14ac:dyDescent="0.25">
      <c r="B417" s="33"/>
      <c r="C417" s="30"/>
      <c r="D417" s="34"/>
      <c r="E417" s="30"/>
      <c r="F417" s="30"/>
      <c r="G417" s="30"/>
      <c r="H417" s="30"/>
      <c r="I417" s="30"/>
      <c r="J417" s="1"/>
    </row>
    <row r="418" spans="1:10" s="4" customFormat="1" x14ac:dyDescent="0.25">
      <c r="B418" s="33"/>
      <c r="C418" s="30"/>
      <c r="D418" s="34"/>
      <c r="E418" s="30"/>
      <c r="F418" s="30"/>
      <c r="G418" s="30"/>
      <c r="H418" s="30"/>
      <c r="I418" s="30"/>
      <c r="J418" s="1"/>
    </row>
    <row r="419" spans="1:10" s="4" customFormat="1" x14ac:dyDescent="0.25">
      <c r="B419" s="33"/>
      <c r="C419" s="30"/>
      <c r="D419" s="34"/>
      <c r="E419" s="30"/>
      <c r="F419" s="30"/>
      <c r="G419" s="30"/>
      <c r="H419" s="30"/>
      <c r="I419" s="30"/>
      <c r="J419" s="1"/>
    </row>
    <row r="420" spans="1:10" s="4" customFormat="1" x14ac:dyDescent="0.25">
      <c r="B420" s="33"/>
      <c r="C420" s="30"/>
      <c r="D420" s="34"/>
      <c r="E420" s="30"/>
      <c r="F420" s="30"/>
      <c r="G420" s="30"/>
      <c r="H420" s="30"/>
      <c r="I420" s="30"/>
      <c r="J420" s="1"/>
    </row>
    <row r="421" spans="1:10" s="4" customFormat="1" x14ac:dyDescent="0.25">
      <c r="B421" s="33"/>
      <c r="C421" s="30"/>
      <c r="D421" s="34"/>
      <c r="E421" s="30"/>
      <c r="F421" s="30"/>
      <c r="G421" s="30"/>
      <c r="H421" s="30"/>
      <c r="I421" s="30"/>
      <c r="J421" s="1"/>
    </row>
    <row r="422" spans="1:10" s="4" customFormat="1" x14ac:dyDescent="0.25">
      <c r="A422" s="21"/>
      <c r="B422" s="33"/>
      <c r="C422" s="30"/>
      <c r="D422" s="34"/>
      <c r="E422" s="30"/>
      <c r="F422" s="30"/>
      <c r="G422" s="30"/>
      <c r="H422" s="30"/>
      <c r="I422" s="30"/>
      <c r="J422" s="12"/>
    </row>
    <row r="423" spans="1:10" s="4" customFormat="1" x14ac:dyDescent="0.25">
      <c r="A423" s="21"/>
      <c r="B423" s="33"/>
      <c r="C423" s="30"/>
      <c r="D423" s="34"/>
      <c r="E423" s="30"/>
      <c r="F423" s="30"/>
      <c r="G423" s="30"/>
      <c r="H423" s="30"/>
      <c r="I423" s="30"/>
      <c r="J423" s="12"/>
    </row>
    <row r="424" spans="1:10" s="4" customFormat="1" x14ac:dyDescent="0.25">
      <c r="A424" s="1"/>
      <c r="B424" s="33"/>
      <c r="C424" s="30"/>
      <c r="D424" s="34"/>
      <c r="E424" s="30"/>
      <c r="F424" s="30"/>
      <c r="G424" s="30"/>
      <c r="H424" s="30"/>
      <c r="I424" s="30"/>
      <c r="J424" s="1"/>
    </row>
    <row r="425" spans="1:10" s="4" customFormat="1" x14ac:dyDescent="0.25">
      <c r="A425" s="1"/>
      <c r="B425" s="33"/>
      <c r="C425" s="30"/>
      <c r="D425" s="34"/>
      <c r="E425" s="30"/>
      <c r="F425" s="30"/>
      <c r="G425" s="30"/>
      <c r="H425" s="30"/>
      <c r="I425" s="30"/>
      <c r="J425" s="1"/>
    </row>
    <row r="426" spans="1:10" s="4" customFormat="1" x14ac:dyDescent="0.25">
      <c r="A426" s="1"/>
      <c r="B426" s="33"/>
      <c r="C426" s="30"/>
      <c r="D426" s="34"/>
      <c r="E426" s="30"/>
      <c r="F426" s="30"/>
      <c r="G426" s="30"/>
      <c r="H426" s="30"/>
      <c r="I426" s="30"/>
      <c r="J426" s="1"/>
    </row>
    <row r="427" spans="1:10" s="4" customFormat="1" x14ac:dyDescent="0.25">
      <c r="B427" s="33"/>
      <c r="C427" s="30"/>
      <c r="D427" s="34"/>
      <c r="E427" s="30"/>
      <c r="F427" s="30"/>
      <c r="G427" s="30"/>
      <c r="H427" s="30"/>
      <c r="I427" s="30"/>
      <c r="J427" s="1"/>
    </row>
    <row r="428" spans="1:10" s="4" customFormat="1" x14ac:dyDescent="0.25">
      <c r="B428" s="33"/>
      <c r="C428" s="30"/>
      <c r="D428" s="34"/>
      <c r="E428" s="30"/>
      <c r="F428" s="30"/>
      <c r="G428" s="30"/>
      <c r="H428" s="30"/>
      <c r="I428" s="30"/>
      <c r="J428" s="1"/>
    </row>
    <row r="429" spans="1:10" s="4" customFormat="1" x14ac:dyDescent="0.25">
      <c r="B429" s="33"/>
      <c r="C429" s="30"/>
      <c r="D429" s="34"/>
      <c r="E429" s="30"/>
      <c r="F429" s="30"/>
      <c r="G429" s="30"/>
      <c r="H429" s="30"/>
      <c r="I429" s="30"/>
      <c r="J429" s="1"/>
    </row>
    <row r="430" spans="1:10" s="4" customFormat="1" x14ac:dyDescent="0.25">
      <c r="B430" s="33"/>
      <c r="C430" s="30"/>
      <c r="D430" s="34"/>
      <c r="E430" s="30"/>
      <c r="F430" s="30"/>
      <c r="G430" s="30"/>
      <c r="H430" s="30"/>
      <c r="I430" s="30"/>
      <c r="J430" s="1"/>
    </row>
    <row r="431" spans="1:10" s="4" customFormat="1" x14ac:dyDescent="0.25">
      <c r="B431" s="33"/>
      <c r="C431" s="30"/>
      <c r="D431" s="34"/>
      <c r="E431" s="30"/>
      <c r="F431" s="30"/>
      <c r="G431" s="30"/>
      <c r="H431" s="30"/>
      <c r="I431" s="30"/>
      <c r="J431" s="1"/>
    </row>
    <row r="432" spans="1:10" s="4" customFormat="1" x14ac:dyDescent="0.25">
      <c r="B432" s="33"/>
      <c r="C432" s="30"/>
      <c r="D432" s="34"/>
      <c r="E432" s="30"/>
      <c r="F432" s="30"/>
      <c r="G432" s="30"/>
      <c r="H432" s="30"/>
      <c r="I432" s="30"/>
      <c r="J432" s="1"/>
    </row>
  </sheetData>
  <mergeCells count="50">
    <mergeCell ref="A1:J1"/>
    <mergeCell ref="A2:J3"/>
    <mergeCell ref="A36:A37"/>
    <mergeCell ref="C36:E36"/>
    <mergeCell ref="F36:F37"/>
    <mergeCell ref="G36:I37"/>
    <mergeCell ref="J36:J37"/>
    <mergeCell ref="B36:B37"/>
    <mergeCell ref="G7:I8"/>
    <mergeCell ref="J7:J8"/>
    <mergeCell ref="A7:A8"/>
    <mergeCell ref="B7:B8"/>
    <mergeCell ref="C7:E7"/>
    <mergeCell ref="F7:F8"/>
    <mergeCell ref="A71:A72"/>
    <mergeCell ref="B71:B72"/>
    <mergeCell ref="C71:E71"/>
    <mergeCell ref="F71:F72"/>
    <mergeCell ref="A100:A101"/>
    <mergeCell ref="B100:B101"/>
    <mergeCell ref="C100:E100"/>
    <mergeCell ref="F100:F101"/>
    <mergeCell ref="A340:A341"/>
    <mergeCell ref="A138:A139"/>
    <mergeCell ref="B138:B139"/>
    <mergeCell ref="C138:E138"/>
    <mergeCell ref="F138:F139"/>
    <mergeCell ref="A258:A259"/>
    <mergeCell ref="C258:E258"/>
    <mergeCell ref="F258:F259"/>
    <mergeCell ref="B340:B341"/>
    <mergeCell ref="C340:E340"/>
    <mergeCell ref="F340:F341"/>
    <mergeCell ref="A176:A177"/>
    <mergeCell ref="B176:B177"/>
    <mergeCell ref="C176:E176"/>
    <mergeCell ref="F176:F177"/>
    <mergeCell ref="B258:B259"/>
    <mergeCell ref="G71:I72"/>
    <mergeCell ref="G176:I177"/>
    <mergeCell ref="G340:I341"/>
    <mergeCell ref="J138:J139"/>
    <mergeCell ref="J71:J72"/>
    <mergeCell ref="J100:J101"/>
    <mergeCell ref="G100:I101"/>
    <mergeCell ref="J340:J341"/>
    <mergeCell ref="J176:J177"/>
    <mergeCell ref="G138:I139"/>
    <mergeCell ref="G258:I259"/>
    <mergeCell ref="J258:J259"/>
  </mergeCells>
  <phoneticPr fontId="0" type="noConversion"/>
  <printOptions horizontalCentered="1"/>
  <pageMargins left="0.196850393700787" right="0.196850393700787" top="0.74803149606299202" bottom="0.70866141732283505" header="0.511811023622047" footer="0.43307086614173201"/>
  <pageSetup paperSize="9" scale="78" firstPageNumber="151" orientation="portrait" useFirstPageNumber="1" r:id="rId1"/>
  <headerFooter alignWithMargins="0">
    <oddHeader>&amp;L&amp;"Times New Roman,Italic"  &amp;12NSS 72&amp;Xnd&amp;X Round&amp;R&amp;"Times New Roman,Italic"&amp;12Text Data Layout</oddHeader>
    <oddFooter>&amp;C&amp;"Times New Roman,Regular"&amp;16&amp;P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layout80_tourism</vt:lpstr>
    </vt:vector>
  </TitlesOfParts>
  <Company>NSSO, DPD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 C. Patra</dc:creator>
  <cp:lastModifiedBy>NSO HSD</cp:lastModifiedBy>
  <cp:lastPrinted>2014-09-30T06:03:39Z</cp:lastPrinted>
  <dcterms:created xsi:type="dcterms:W3CDTF">2001-12-18T09:10:07Z</dcterms:created>
  <dcterms:modified xsi:type="dcterms:W3CDTF">2026-09-23T08:40:54Z</dcterms:modified>
</cp:coreProperties>
</file>